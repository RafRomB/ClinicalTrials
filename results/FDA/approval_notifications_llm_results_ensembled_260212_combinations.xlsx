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<sst xmlns="http://schemas.openxmlformats.org/spreadsheetml/2006/main" count="2958" uniqueCount="1367">
  <si>
    <t xml:space="preserve">ID</t>
  </si>
  <si>
    <t xml:space="preserve">title</t>
  </si>
  <si>
    <t xml:space="preserve">description</t>
  </si>
  <si>
    <t xml:space="preserve">url</t>
  </si>
  <si>
    <t xml:space="preserve">date</t>
  </si>
  <si>
    <t xml:space="preserve">type</t>
  </si>
  <si>
    <t xml:space="preserve">query_text</t>
  </si>
  <si>
    <t xml:space="preserve">drug_name</t>
  </si>
  <si>
    <t xml:space="preserve">AA_indication</t>
  </si>
  <si>
    <t xml:space="preserve">AA_date</t>
  </si>
  <si>
    <t xml:space="preserve">TA_date</t>
  </si>
  <si>
    <t xml:space="preserve">withdrawal_date</t>
  </si>
  <si>
    <t xml:space="preserve">qwen3_14b</t>
  </si>
  <si>
    <t xml:space="preserve">deepseek_r1_8b</t>
  </si>
  <si>
    <t xml:space="preserve">phi4</t>
  </si>
  <si>
    <t xml:space="preserve">ensemble</t>
  </si>
  <si>
    <t xml:space="preserve">disagreement</t>
  </si>
  <si>
    <t xml:space="preserve">ensemble_corrected</t>
  </si>
  <si>
    <t xml:space="preserve">comments</t>
  </si>
  <si>
    <t xml:space="preserve">full_text</t>
  </si>
  <si>
    <t xml:space="preserve">ID_3</t>
  </si>
  <si>
    <t xml:space="preserve">FDA approves fam-trastuzumab deruxtecan-nxki with pertuzumab for unresectable or metastatic HER2-positive breast cancer</t>
  </si>
  <si>
    <t xml:space="preserve">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t>
  </si>
  <si>
    <t xml:space="preserve">https://www.fda.gov/drugs/drug-approvals-and-databases/fda-approves-fam-trastuzumab-deruxtecan-nxki-pertuzumab-unresectable-or-metastatic-her2-positive</t>
  </si>
  <si>
    <t xml:space="preserve">2025-12-15</t>
  </si>
  <si>
    <t xml:space="preserve">ApprovalNotifications</t>
  </si>
  <si>
    <t xml:space="preserve">combination</t>
  </si>
  <si>
    <t xml:space="preserve">FDA approves fam-trastuzumab deruxtecan-nxki with pertuzumab for unresectable or metastatic HER2-positive breast cancer
Drug Approvals and Databases
Resources for Information | Approved Drugs
On December 15, 2025, the Food and Drug Administration approved fam-trastuzumab deruxtecan-nxki (Enhertu, Daiichi Sankyo, Inc.) in combination with pertuzumab for the first-line treatment of adults with unresectable or metastatic HER2-positive (IHC 3+ or ISH+) breast cancer as determined by an FDA-approved test.
FDA also approved the PATHWAY anti-HER-2/neu (4B5) Rabbit Monoclonal Primary Antibody and HER2 Dual ISH DNA Probe Cocktail as companion diagnostic devices for selecting HER2-positive (HER2 IHC3+ or ISH+) breast cancer patients for treatment with fam-trastuzumab deruxtecan-nxki in combination with pertuzumab. 
Full prescribing information for Enhertu will be posted on Drugs@FDA. 
Efficacy and Safety
Efficacy was evaluated in DESTINY-Breast09 (NCT04784715), a randomized, three-arm, multicenter, global trial that enrolled 1157 adults with HER2-positive advanced or metastatic breast cancer who had not received prior chemotherapy or HER2-targeted therapy or had received neoadjuvant or adjuvant HER2-targeted therapy more than six months before the diagnosis of advanced or metastatic disease. A single line of prior endocrine therapy was permitted for advanced or metastatic breast cancer. Patients were randomized (1:1:1) to receive either, fam-trastuzumab deruxtecan-nxki 5.4 mg/kg plus pertuzumab (N=383), or THP (taxane [docetaxel or paclitaxel], trastuzumab, and pertuzumab) (N=387), or an investigational therapy (N=387) by intravenous infusion every three weeks until unacceptable toxicity or disease progression.
The major efficacy outcome measure was progression-free survival (PFS) as assessed by blinded independent central review (BICR) based on RECIST v1.1. Additional efficacy outcome measures were overall survival (OS) and confirmed objective response rate (ORR) assessed by BICR. Median PFS was 40.7 months (95% CI: 36.5, not estimable [NE]) in the fam-trastuzumab deruxtecan-nxki plus pertuzumab arm and 26.9 months (95% CI: 21.8, NE) in the THP arm (Hazard ratio 0.56 [95% CI: 0.44, 0.71); p-value &lt;0.0001). Confirmed ORR was 87% (95% CI: 83, 90) and 81% (95% CI: 77, 85) in the respective arms. At the time of the PFS analysis, OS data was not mature with 126 (16%) of patients who died across both study arms in the overall population.
The prescribing information includes warnings and precautions for neutropenia and left ventricular dysfunction.
The recommended fam-trastuzumab deruxtecan-nxki dose for Cycle 1, Day 1 is 5.4 mg/kg, followed by pertuzumab 840 mg. For subsequent cycles, the recommended fam-trastuzumab deruxtecan-nxki dose is 5.4 mg/kg, followed by pertuzumab 420 mg by intravenous infusion every three weeks.
Expedited Programs
This review was conducted under Project Orbis, an initiative of the FDA Oncology Center of Excellence. Project Orbis provides a framework for concurrent submission and review of oncology drugs among international partners. For this review, FDA collaborated with Switzerland’s Swissmedic (SMC).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Fam-trastuzumab deruxtecan-nxki in combination with pertuzumab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12/15/2025
Regulated Product(s)
Drugs
Oncology</t>
  </si>
  <si>
    <t xml:space="preserve">ID_4</t>
  </si>
  <si>
    <t xml:space="preserve">FDA approves niraparib and abiraterone acetate plus prednisone for BRCA2-mutated metastatic castration-sensitive prostate cancer</t>
  </si>
  <si>
    <t xml:space="preserve">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t>
  </si>
  <si>
    <t xml:space="preserve">https://www.fda.gov/drugs/resources-information-approved-drugs/fda-approves-niraparib-and-abiraterone-acetate-plus-prednisone-brca2-mutated-metastatic-castration</t>
  </si>
  <si>
    <t xml:space="preserve">2025-12-12</t>
  </si>
  <si>
    <t xml:space="preserve">FDA approves niraparib and abiraterone acetate plus prednisone for BRCA2-mutated metastatic castration-sensitive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12, 2025, the Food and Drug Administration approved niraparib and abiraterone acetate (Akeega, Janssen Biotech, Inc.) with prednisone for adults with deleterious or suspected deleterious BRCA2-mutated (BRCA2m) metastatic castration-sensitive prostate cancer (mCSPC), as determined by an FDA-approved test.
Full prescribing information for Akeega will be posted on Drugs@FDA.
Efficacy and Safety
Efficacy was evaluated in AMPLITUDE (NCT04497844), a randomized, double-blind trial in 696 patients with homologous recombination repair (HRR) gene-mutated (HRRm) mCSPC. Patients were randomized (1:1) to receive niraparib and abiraterone acetate plus prednisone (AAP) or placebo and AAP. All patients also received continued androgen deprivation therapy.
The major efficacy outcome measure was investigator-assessed radiographic progression-free survival (rPFS). Overall survival (OS) was an additional efficacy outcome. 
The trial demonstrated a statistically significant improvement in rPFS for niraparib and AAP compared to placebo and AAP in the overall population of patients with HRRm. In an exploratory analysis of 323 patients with BRCA2m, the hazard ratio (HR) for rPFS was 0.46 (95% CI: 0.32, 0.66) with median rPFS not estimable [NE] (95% CI: 41, NE) for niraparib and AAP and 26 months (95% CI: 18, 28) for placebo and AAP. In an exploratory analysis in 373 patients with non-BRCA2m, the HR for rPFS was 0.88 (95% CI: 0.63, 1.24), indicating that the overall improvement was primarily attributed to the results seen in patients with BRCA2m.
At the first interim analysis for OS, 91 deaths had occurred in the BRCA2m population, including 36 (22%) on the niraparib and AAP arm and 55 (34%) on the placebo and AAP arm.
The prescribing information includes warnings and precautions for myelodysplastic syndrome/acute myeloid leukemia; myelosuppression; hypokalemia; fluid retention, and cardiovascular adverse reactions; hepatoxicity; adrenocortical insufficiency; hypoglycemia; increased fractures and mortality in combination with radium Ra 223 dichloride; posterior reversible encephalopathy syndrome; and embryo-fetal toxicity.
The recommended dose is 200 mg niraparib and 1,000 mg abiraterone acetate orally once daily in combination with 5 mg prednisone once daily until disease progression or unacceptable toxicity. Patients should also receive a gonadotropin-releasing hormone (GnRH) analog concurrently or should have had bilateral orchiectomy.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12/12/2025
Regulated Product(s)
Drugs</t>
  </si>
  <si>
    <t xml:space="preserve">ID_7</t>
  </si>
  <si>
    <t xml:space="preserve">FDA approves durvalumab for resectable gastric or gastroesophageal junction adenocarcinoma</t>
  </si>
  <si>
    <t xml:space="preserve">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</si>
  <si>
    <t xml:space="preserve">https://www.fda.gov/drugs/resources-information-approved-drugs/fda-approves-durvalumab-resectable-gastric-or-gastroesophageal-junction-adenocarcinoma</t>
  </si>
  <si>
    <t xml:space="preserve">2025-11-25</t>
  </si>
  <si>
    <t xml:space="preserve">FDA approves durvalumab for resectable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
Full prescribing information for Imfinzi will be posted on Drugs@FDA.
Efficacy and Safety
Efficacy was evaluated in MATTERHORN (NCT04592913), a randomized, double-blind, placebo-controlled, multicenter trial conducted in 948 patients with previously untreated and resectable, Stage II to Stage IVA, GC/GEJC. Patients were randomized (1:1) to receive either durvalumab and FLOT or placebo and FLOT.
The major efficacy outcome measure was event-free survival (EFS) by blinded independent central review assessment. Additional efficacy outcome measures were overall survival (OS) and pathological complete response (pCR) rate by blinded central pathology review. The trial was not designed to isolate the effect of durvalumab in each phase (neoadjuvant or adjuvant) of treatment. Median EFS was not reached (NR) (95% CI: 40.7, not estimable [NE]) in the durvalumab + FLOT arm and was 32.8 months (95% CI: 27.9, NE) in the placebo + FLOT arm (hazard ratio [HR] 0.71 [95% CI: 0.58, 0.86]; p-value &lt;0.001). Median OS was NR in both arms (HR 0.78 [95% CI: 0.63, 0.96]; p-value 0.021). The pCR rate was 19.2% (95% CI: 15.7, 23.0) and 7.2% (95% CI: 5.0, 9.9) in the respective arms (p-value &lt;0.001).
The prescribing information includes warnings and precautions for immune-mediated adverse reactions, infusion-related reactions, complications of allogeneic hematopoietic stem cell transplantation, and embryo-fetal toxicity.
Recommended Dosage
The recommended durvalumab dose for patients with a body weight of ≥30 kg is 1,500 mg every 4 weeks with chemotherapy for up to 4 cycles (neoadjuvant and adjuvant treatment), followed by 1,500 mg as a single agent every 4 weeks for up to 10 cycles (adjuvant treatment). The recommended durvalumab dose for patients with a body weight &lt;30 kg is 20 mg/kg with chemotherapy every 4 weeks for up to 4 cycles (neoadjuvant and adjuvant treatment) and 20 mg/kg as a single agent every 4 weeks for up to 10 cycles (adjuvant treatment). Treatment should continue until disease progression, recurrence, or unacceptable toxicity, or a maximum of 12 cycles after surgery.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Israel’s Ministry of Health (IMoH), and Switzerland’s Swissmedic (SMS). The application reviews are ongoing at the other regulatory agencies.
This review used the Assessment Aid, a voluntary submission from the Applicant to facilitate the FDA’s assessment.
This application was granted priority review. Durvalumab received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11/25/2025
Regulated Product(s)
Drugs
Oncology</t>
  </si>
  <si>
    <t xml:space="preserve">ID_8</t>
  </si>
  <si>
    <t xml:space="preserve">FDA approves pembrolizumab with enfortumab vedotin-ejfv for muscle invasive bladder cancer</t>
  </si>
  <si>
    <t xml:space="preserve">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</si>
  <si>
    <t xml:space="preserve">https://www.fda.gov/drugs/resources-information-approved-drugs/fda-approves-pembrolizumab-enfortumab-vedotin-ejfv-muscle-invasive-bladder-cancer</t>
  </si>
  <si>
    <t xml:space="preserve">2025-11-21</t>
  </si>
  <si>
    <t xml:space="preserve">FDA approves pembrolizumab with enfortumab vedotin-ejfv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
Full prescribing information for Keytruda, Keytruda Qlex, and Padcev will be posted on Drugs@FDA. 
Efficacy and Safety
Efficacy was evaluated in KEYNOTE-905/EV-303 (NCT03924895), an open-label, randomized, multicenter, active-controlled trial in 344 patients with previously untreated MIBC who were candidates for radical cystectomy (RC) with pelvic lymph node dissection (PLND) but were ineligible for or declined cisplatin-based chemotherapy. Patients were randomized (1:1) to receive neoadjuvant pembrolizumab and enfortumab vedotin-ejfv followed by surgery followed by adjuvant enfortumab vedotin-ejfv in combination with pembrolizumab followed by pembrolizumab as a single agent or to undergo immediate surgery alone.
The major efficacy outcome measure was event-free survival (EFS) assessed by blinded independent central review. Overall survival (OS) was an additional efficacy outcome. The trial demonstrated statistically significant improvements in EFS and OS in patients treated with pembrolizumab and enfortumab vedotin-ejfv before and after RC and PLND compared with surgery alone. Median EFS was not reached (NR) (95% CI: 37.3, NR) in the pembrolizumab and enfortumab vedotin arm and was 15.7 months (95% CI: 10.3, 20.5) in the RC and PLND arm (Hazard Ratio [HR] 0.40 [95% CI: 0.28, 0.57]; p-value &lt;0.0001). Median OS was NR (95% CI: NR, NR) and 41.7 months (95% CI: 31.8, NR) in the respective arms (HR 0.50 [95% CI: 0.33, 0.74]; p-value 0.0002).
The overall safety profile of enfortumab vedotin-ejfv with pembrolizumab in KEYNOTE-905/EV-303 was similar to that observed in prior trials in advanced urothelial cancer. The pembrolizumab prescribing information includes warnings and precautions for immune-mediated adverse reactions, infusion-related reactions, complications of allogeneic hematopoietic stem cell transplantation, and embryo-fetal toxicity. The enfortumab vedotin-ejfv prescribing information includes warnings and precautions for skin reactions, hyperglycemia, pneumonitis/interstitial lung disease (ILD), peripheral neuropathy, ocular disorders, infusion site extravasation, and embryo-fetal toxicity.
Recommended Dosage
The recommended pembrolizumab dose for neoadjuvant treatment is 200 mg IV every 3 weeks administered in combination with enfortumab vedotin-ejfv 1.25 mg/kg (up to a maximum of 125 mg for patients ≥ 100 kg) IV on Days 1 and 8 of a 21-day cycle for 3 cycles for a total duration of 9 weeks of neoadjuvant treatment. In the adjuvant phase, enfortumab vedotin-ejfv is continued for 6 additional cycles every 3 weeks in combination with pembrolizumab, administered either as 200 mg IV every 3 weeks for 14 cycles or 400 mg IV every 6 weeks for 7 cycles. The duration of the combination of pembrolizumab and enfortumab vedotin-ejfv in the adjuvant setting is 18 weeks and the overall duration of adjuvant therapy, including pembrolizumab as a single agent, is 42 weeks. Administer pembrolizumab after enfortumab vedotin when given on the same day.
For dosage and administration information for pembrolizumab and berahyaluronidase alfa-pmph given in combination with enfortumab vedotin-ejfv, refer to the Keytruda Qlex prescribing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(HC), Switzerland’s Swissmedic (SMC), and the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5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11/21/2025
Regulated Product(s)
Drugs
Oncology</t>
  </si>
  <si>
    <t xml:space="preserve">ID_11</t>
  </si>
  <si>
    <t xml:space="preserve">FDA grants traditional approval to daratumumab and hyaluronidase-fihj for newly diagnosed light chain amyloidosis</t>
  </si>
  <si>
    <t xml:space="preserve">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</si>
  <si>
    <t xml:space="preserve">https://www.fda.gov/drugs/resources-information-approved-drugs/fda-grants-traditional-approval-daratumumab-and-hyaluronidase-fihj-newly-diagnosed-light-chain</t>
  </si>
  <si>
    <t xml:space="preserve">2025-11-19</t>
  </si>
  <si>
    <t xml:space="preserve">FDA grants traditional approval to daratumumab and hyaluronidase-fihj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
Full prescribing information for Darzalex Faspro will be posted on Drugs@FDA.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or Darzalex Faspro with VCd (D-VCd).
The approval was based on major organ deterioration progression free survival (MOD-PFS; defined as the duration from the date of randomization to either hematologic progression, major organ deterioration, or death, whichever occurred first), and overall survival (OS). After a median follow-up of 61.4 months, the trial demonstrated an improvement in MOD-PFS in the D-VCd arm as compared to the VCd arm (hazard ratio [HR]=0.47; 95% confidence interval [CI]: 0.33, 0.67; p-value &lt;0.0001). The median MOD-PFS was not reached in the D-VCd arm and was 30.2 months in the VCd arm. The trial also demonstrated an improvement in OS in the D-VCd arm as compared to the VCd arm (HR=0.62; 95% CI: 0.42, 0.90; p-value 0.0121). The median OS had not been reached in either arm.
The prescribing information includes a Warnings and Precaution for cardiac toxicity, stating that serious or fatal cardiac adverse reactions occurred in patients with light chain (AL) amyloidosis who received Darzalex Faspro in combination with VCd, along with Warnings and Precautions for hypersensitivity and other administrative reactions, neutropenia, thrombocytopenia, embryo-fetal toxicity, and interference with cross-matching and red blood cell antibody screening. Darzalex Faspro is not indicated and is not recommended for the treatment of patients with light chain (AL) amyloidosis who have NYHA Class IIIB or Class IV cardiac disease or Mayo Stage IIIB outside of controlled clinical trials.
The recommended dose is 1,800 mg daratumumab and 30,000 units hyaluronidase-fihj administered subcutaneously into the abdomen over approximately 3 to 5 minutes according to the recommended schedule in combination with VCd.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11/19/2025
Regulated Product(s)
Drugs</t>
  </si>
  <si>
    <t xml:space="preserve">ID_13</t>
  </si>
  <si>
    <t xml:space="preserve">FDA approves epcoritamab-bysp for follicular lymphoma indications</t>
  </si>
  <si>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</si>
  <si>
    <t xml:space="preserve">https://www.fda.gov/drugs/resources-information-approved-drugs/fda-approves-epcoritamab-bysp-follicular-lymphoma-indications</t>
  </si>
  <si>
    <t xml:space="preserve">2025-11-18</t>
  </si>
  <si>
    <t xml:space="preserve">FDA approves epcoritamab-bysp for follicular lymphoma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Full prescribing information for Epkinly will be posted on Drugs@FDA.
Approval of epcoritamab-bysp with lenalidomide and rituximab (R2) was based on EPCORE FL-1 (Study M20-638; NCT05409066), a randomized, open-label trial that enrolled 488 patients with relapsed or refractory FL. Patients were randomized (1:1) to receive epcoritamab-bysp plus R2 or R2 alone. Patients had a median of 1 prior line of systemic therapy (range: 1 to 7); 24% and17% had two and three or more prior lines, respectively.
Efficacy was established based on progression free survival (PFS) and overall response rate (ORR) as assessed by an independent review committee (IRC) using Lugano 2014 Criteria. The study demonstrated superiority of PFS and ORR in the epcoritamab-bysp arm. The PFS hazard ratio was 0.21 (95% CI: 0.13, 0.33; p-value &lt;0.0001). The median PFS was not reached (NR) (95% CI: 21.9 months, NR) in the epcoritamab-bysp arm and was 11.2 months (95% CI: 10.5, NR) in the control arm. The ORR was 89% (95% CI: 84, 93) in the epcoritamab-bysp arm and 74% (95% CI: 68, 79) in the control arm.
The prescribing information includes boxed warnings for cytokine release syndrome (CRS) and immune effector cell-associated neurotoxicity syndrome (ICANS), as well as warnings and precautions for infections and cytopenias. Serious adverse reactions occurred in 51% of the patients in the epcoritamab-bysp arm, including serious infections in 28%. CRS occurred in 24% of patients, including serious CRS in 12%. ICANS occurred in 0.8%.
The recommended regimen for epcoritamab-bysp in combination with R2 consists of epcoritamab-bysp administered subcutaneously for up to twelve 28-day cycles, with lenalidomide on Days 1-21 of each cycle and rituximab for 5 cycles. The recommended epcoritamab-bysp dosage is a 3 step-up dosage schedule in Cycle 1 (0.16 mg on Day 1, 0.8 mg on Day 8, 3 mg on Day 15, and 48 mg on Day 22), followed by weekly dosing of 48 mg in Cycle 2 and 3, then every 4-week dosing of 48 mg in Cycles 4 to 12.
This review was conducted as a Summary Review and used the Assessment Aid, a voluntary submission from the applicant to facilitate the FDA’s assessment.
This application was granted breakthrough designation,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11/18/2025
Regulated Product(s)
Drugs</t>
  </si>
  <si>
    <t xml:space="preserve">ID_18</t>
  </si>
  <si>
    <t xml:space="preserve">FDA approves belantamab mafodotin-blmf for relapsed or refractory multiple myeloma</t>
  </si>
  <si>
    <t xml:space="preserve">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</si>
  <si>
    <t xml:space="preserve">https://www.fda.gov/drugs/resources-information-approved-drugs/fda-approves-belantamab-mafodotin-blmf-relapsed-or-refractory-multiple-myeloma</t>
  </si>
  <si>
    <t xml:space="preserve">2025-10-23</t>
  </si>
  <si>
    <t xml:space="preserve">FDA approves belantamab mafodotin-blmf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
Full prescribing information for Blenrep will be posted on Drugs@FDA.
Efficacy was evaluated in DREAMM-7 (NCT04246047), an open-label, randomized, multicenter trial in adults with relapsed or refractory multiple myeloma who had received at least one line of prior therapy. The trial excluded patients who were refractory or intolerant to daratumumab or bortezomib, had received prior BCMA-directed therapy, and had existing corneal disease, except for mild punctate keratopathy.
Patients were randomized (1:1) to receive either belantamab mafodotin-blmf, bortezomib, and dexamethasone (BVd) or daratumumab, bortezomib, and dexamethasone (DVd). The efficacy population included 217 patients (108 and 109 in respective arms) who had received at least two prior lines of therapy, including a proteasome inhibitor and an immunomodulatory agent.
Efficacy was established based on progression-free survival (PFS) and overall survival (OS). The median PFS was 31.3 months (95% confidence interval [CI]: 23.5, not reached [NR]) in the BVd arm and 10.4 months (95% CI: 7, 13.4) in the DVd arm (hazard ratio [HR] 0.31, 95% CI: 0.21, 0.47). The median OS was NR and 35.7 months (95% CI: 21.1, NR) in respective arms (HR 0.49, 95% CI: 0.32, 0.76).
Prescribing information includes a Boxed Warning for the risk of ocular toxicity, including corneal epithelium changes resulting in vision deterioration. Among those receiving belantamab mafodotin-blmf in DREAMM-7, ocular toxicity occurred in 92% of patients, including Grade 3 or 4 in 77%, with 83% requiring dosage modification due to ocular toxicity.
Because of the risk of ocular toxicity, belantamab mafodotin-blmf is available only through a Risk Evaluation and Mitigation Strategy (REMS), called the BLENREP REMS. Other Warnings and Precautions include thrombocytopenia and embryo-fetal toxicity.
The recommended belantamab mafodotin-blmf dosage is 2.5 mg/kg once every three weeks in combination with bortezomib and dexamethasone for the first eight cycles, followed by belantamab mafodotin-blmf 2.5 mg/kg once every three weeks as a single agent until disease progression or unacceptable toxicity. Prescribing information contains dosing instructions of the drugs administered in combination with belantamab mafodotin-blmf.
This review used the Assessment Aid, a voluntary submission from the applicant to facilitate the FDA's assessment.
Belantamab mafodotin-blmf received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10/23/2025
Regulated Product(s)
Drugs
Oncology</t>
  </si>
  <si>
    <t xml:space="preserve">ID_20</t>
  </si>
  <si>
    <t xml:space="preserve">FDA approves lurbinectedin in combination with atezolizumab or atezolizumab and hyaluronidase-tqjs for extensive-stage small cell lung cancer</t>
  </si>
  <si>
    <t xml:space="preserve">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</si>
  <si>
    <t xml:space="preserve">https://www.fda.gov/drugs/resources-information-approved-drugs/fda-approves-lurbinectedin-combination-atezolizumab-or-atezolizumab-and-hyaluronidase-tqjs-extensive</t>
  </si>
  <si>
    <t xml:space="preserve">2025-10-02</t>
  </si>
  <si>
    <t xml:space="preserve">FDA approves lurbinectedin in combination with atezolizumab or atezolizumab and hyaluronidase-tqjs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
Full prescribing information for Zepzelca, Tecentriq, and Tecentriq Hybreza will be posted on Drugs@FDA. 
Efficacy and Safety
Efficacy was evaluated in IMforte (NCT05091567), a randomized, multicenter, open-label trial in patients receiving first-line treatment for ES-SCLC. In IMforte, 483 patients with ES-SCLC whose disease had not progressed after completion of four cycles of atezolizumab, carboplatin, and etoposide (induction treatment) were randomized (1:1) to receive either lurbinectedin in combination with atezolizumab administered intravenously (IV) or atezolizumab IV alone until disease progression or unacceptable toxicity.
The major efficacy outcome measures were overall survival (OS) and progression-free survival (PFS) assessed by independent review facility (IRF) according to RECIST v.1.1, measured from the time of randomization after completion of induction therapy. Median OS was 13.2 months (95% CI: 11.9, 16.4) in the lurbinectedin with atezolizumab arm and 10.6 months (95% CI: 9.5, 12.2) in the atezolizumab arm (hazard ratio [HR] 0.73 [95% CI: 0.57, 0.95]; two-sided p-value 0.0174). Median PFS was 5.4 months (95% CI: 4.2, 5.8) and 2.1 months (95% CI: 1.6, 2.7) in the respective arms (HR 0.54 [95% CI: 0.43, 0.67]; two-sided p-value &lt;0.0001).
The prescribing information for lurbinectedin includes warnings and precautions for myelosuppression, hepatotoxicity, extravasation resulting in tissue necrosis, rhabdomyolysis, and embryo-fetal toxicity. The prescribing information for atezolizumab and for atezolizumab and hyaluronidase-tqjs include warnings and precautions for severe and fatal immune-mediated adverse reactions, infusion-related reactions, complications of allogeneic HSCT, and embryo-fetal toxicity.
Recommended Dosage
The recommended lurbinectedin dose is 3.2 mg/m2 by intravenous infusion every 21 days until disease progression or unacceptable toxicity. The recommended atezolizumab dose is 840 mg every two weeks, 1200 mg every three weeks, or 1680 mg every four weeks by intravenous infusion until disease progression or unacceptable toxicity. The recommended dosage of atezolizumab and hyaluronidase-tqjs is 1875 mg of atezolizumab and 30,000 units of hyaluronidase administered subcutaneously every 3 weeks until disease progression or unacceptable toxicity.
Expedited Programs
This review was conducted under Project Orbis, an initiative of the FDA Oncology Center of Excellence. Project Orbis provides a framework for concurrent submission and review of oncology drugs among international partners. For this review, FDA collaborated with Australia’s Therapeutic Goods Administration, Health Canada, Israel’s Ministry of Health, and Switzerland’s Swissmedic. The application reviews are ongoing at these agencies.
This review used the Assessment Aid, a voluntary submission from the applicant to facilitate the FDA’s assessment.
This application was granted priority review. Lurbinectedin and atezolizumab received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10/02/2025
Regulated Product(s)
Drugs
Oncology</t>
  </si>
  <si>
    <t xml:space="preserve">ID_30</t>
  </si>
  <si>
    <t xml:space="preserve">FDA approves tafasitamab-cxix for relapsed or refractory follicular lymphoma</t>
  </si>
  <si>
    <t xml:space="preserve">On June 18, 2025, the Food and Drug Administration approved tafasitamab-cxix (Monjuvi, Incyte Corporation) with lenalidomide and rituximab for adults with relapsed or refractory follicular lymphoma (FL). </t>
  </si>
  <si>
    <t xml:space="preserve">https://www.fda.gov/drugs/resources-information-approved-drugs/fda-approves-tafasitamab-cxix-relapsed-or-refractory-follicular-lymphoma</t>
  </si>
  <si>
    <t xml:space="preserve">2025-06-18</t>
  </si>
  <si>
    <t xml:space="preserve">FDA approves tafasitamab-cxix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18, 2025, the Food and Drug Administration approved tafasitamab-cxix (Monjuvi, Incyte Corporation) with lenalidomide and rituximab for adults with relapsed or refractory follicular lymphoma (FL). 
Full prescribing information for Monjuvi will be posted on Drugs@FDA.
Efficacy and Safety
Efficacy was evaluated in inMIND, a double-blind, placebo-controlled trial (NCT04680052) randomizing 548 patients with relapsed or refractory FL to receive tafasitamab-cxix or placebo with lenalidomide and rituximab. Patients had received a median of 1 prior line of systemic therapy; 25% and 20% had 2 and 3 or more prior lines, respectively.
The major efficacy outcome measure was investigator-assessed progression-free survival (PFS). After a median follow-up of 14.1 months, PFS was statistically significantly longer in the tafasitamab-cxix arm (hazard ratio 0.43 [95% CI: 0.32, 0.58]; p-value &lt;0.0001). The estimated median PFS was 22.4 months (95% CI: 19.2, not evaluable) in the tafasitamab-cxix arm and 13.9 months (95% CI: 11.5, 16.4) in the control. 
Serious adverse reactions occurred in 33% of patients in the tafasitamab-cxix arm, including serious infections in 24%. The prescribing information for tafasitamab-cxix includes warnings and precautions for infusion-related reactions, myelosuppression, and infections.
Recommended Dosage
The recommended tafasitamab-cxix dose is 12 mg/kg as an intravenous infusion for a maximum of 12 cycles with lenalidomide and rituximab. Tafasitamab-cxix is neither indicated nor recommended for patients with relapsed or refractory marginal zone lymphoma outside of controlled clinical trials.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This review used the Assessment Aid, a voluntary submission from the applicant to facilitate the FDA’s assessment.
This application was granted priority review. Tafasitamab-cxix received orphan drug designation for FL.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06/18/2025
Regulated Product(s)
Drugs
Oncology</t>
  </si>
  <si>
    <t xml:space="preserve">ID_31</t>
  </si>
  <si>
    <t xml:space="preserve">FDA approves neoadjuvant and adjuvant pembrolizumab for resectable locally advanced head and neck squamous cell carcinoma</t>
  </si>
  <si>
    <t xml:space="preserve">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</si>
  <si>
    <t xml:space="preserve">https://www.fda.gov/drugs/resources-information-approved-drugs/fda-approves-neoadjuvant-and-adjuvant-pembrolizumab-resectable-locally-advanced-head-and-neck</t>
  </si>
  <si>
    <t xml:space="preserve">2025-06-12</t>
  </si>
  <si>
    <t xml:space="preserve">FDA approves neoadjuvant and adjuvant pembrolizumab for resectable locally advanced head and neck squamous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
This is the first approval for HNSCC in 6 years and the first overall perioperative approval for locally advanced HNSCC.
Full prescribing information for Keytruda will be posted on Drugs@FDA. 
Efficacy and Safety
Efficacy was evaluated in KEYNOTE-689 (NCT03765918), a randomized, multicenter, open-label trial in 714 patients with resectable locally advanced (Stage III-IVA) HNSCC [AJCC, 8th edition]. Patients were randomized (1:1) to either of the following:
neoadjuvant pembrolizumab every 3 weeks for 2 cycles followed by adjuvant pembrolizumab every 3 weeks for 3 cycles with RT, with or without cisplatin, and then every 3 weeks for 12 cycles of pembrolizumab as a single agent, or
no neoadjuvant treatment prior to surgery followed by adjuvant RT with or without cisplatin. 
On both treatment arms, patients received cisplatin with adjuvant RT if high-risk pathological features (i.e., positive margins &lt;1 mm or extranodal extension) were present at surgery.
The major efficacy measure was event-free survival (EFS) by blinded independent central review defined as the time from randomization to the first occurrence of any of the following events: disease progression precluding definitive surgery, local or distant disease progression or recurrence, or death due to any cause. Additional efficacy outcome measures included overall survival (OS). For patients whose tumors express PD-L1 CPS ≥1 (n=682), median EFS was 59.7 months (95% CI: 37.9, not reached [NR]) in the pembrolizumab arm and 29.6 months (95% CI: 19.5, 41.9) in the control arm (hazard ratio 0.70 [95% CI: 0.55, 0.89]; p-value 0.00140).
While OS results were immature at the current analysis, with 76% of pre-specified deaths in the CPS ≥1 population, no trend towards a detriment was observed.
Of the patients who received neoadjuvant pembrolizumab, 1.4% were unable to receive surgery due to adverse reactions compared with 1.4% on the control arm. The prescribing information for pembrolizumab includes warnings and precautions for immune-mediated adverse reactions, infusion-related reactions, and embryo-fetal toxicity. Adverse reactions were consistent with prior experience with pembrolizumab.
Recommended Dosage
The recommended pembrolizumab dose is 200 mg every 3 weeks or 400 mg every 6 weeks. Pembrolizumab should be administered prior to chemotherapy when given on the same day.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these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06/13/2025
Regulated Product(s)
Drugs</t>
  </si>
  <si>
    <t xml:space="preserve">ID_35</t>
  </si>
  <si>
    <t xml:space="preserve">FDA approves retifanlimab-dlwr with carboplatin and paclitaxel and as a single agent for squamous cell carcinoma of the anal canal</t>
  </si>
  <si>
    <t xml:space="preserve">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</si>
  <si>
    <t xml:space="preserve">https://www.fda.gov/drugs/resources-information-approved-drugs/fda-approves-retifanlimab-dlwr-carboplatin-and-paclitaxel-and-single-agent-squamous-cell-carcinoma</t>
  </si>
  <si>
    <t xml:space="preserve">2025-05-15</t>
  </si>
  <si>
    <t xml:space="preserve">FDA approves retifanlimab-dlwr with carboplatin and paclitaxel and as a single agent for squamous cell carcinoma of the anal canal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
Full prescribing information for Zynyz will be posted on Drugs@FDA.
Efficacy of retifanlimab-dlwr with carboplatin and paclitaxel was evaluated in POD1UM-303/InterAACT 2 (NCT04472429), a randomized, multicenter, double-blind trial in 308 patients with chemotherapy-naïve inoperable locally recurrent or metastatic SCAC. Patients received carboplatin AUC of 5 on Day 1, and paclitaxel 80 mg/m2 on Days 1, 8, and 15 for 6 cycles and were randomized (1:1) to receive either:
retifanlimab-dlwr 500 mg intravenously every 4 weeks, or
placebo intravenously every 4 weeks. 
The major efficacy outcome measure was progression-free survival (PFS) as assessed by blinded independent central review (BICR) according to RECIST v1.1. Overall survival (OS) was a key secondary endpoint. Additional efficacy outcome measures were overall response rate (ORR) and duration of response (DOR) as assessed by BICR. Median PFS was 9.3 months (95% CI: 7.5, 11.3) in the retifanlimab-dlwr arm and 7.4 months (95% CI: 7.1, 7.7) in the placebo arm (hazard ratio 0.63 [95% CI: 0.47, 0.84] p-value 0.0006). Interim OS results were not statistically significant: median OS was 29.2 months (95% CI: 24.2, not estimable [NE]) and 23 months (95% CI: 15.1, 27.9) in the respective arms (hazard ratio 0.70 [95% CI: 0.49, 1.01]). Forty-five percent of patients who received placebo received retifanlimab-dlwr after disease progression. ORR was 56% (95% CI: 48, 64) and 44% (95% CI: 36, 52) in the respective arms.
Efficacy of retifanlimab-dlwr as a single agent was evaluated in POD1UM-202 (NCT03597295), an open-label, multicenter, single-arm trial in 94 patients with locally recurrent or metastatic SCAC with disease progression on or intolerance to platinum-based chemotherapy. Patients received retifanlimab-dlwr 500 mg intravenously every 4 weeks until disease progression, unacceptable toxicity, or up to 24 months. The major efficacy outcome measures were ORR and DOR as assessed by an independent review committee (IRC) according to RECIST v1.1. ORR was 14% (95% CI: 8, 23) and median DOR was 9.5 months (95% CI: 4.4, not estimable [NE]).
The prescribing information for retifanlimab-dlwr includes warnings and precautions for severe and fatal immune-mediated adverse reactions, infusion-related reactions, complications of allogeneic HSCT, and embryo-fetal toxicity.
The recommended retifanlimab-dlwr dose in combination with carboplatin and paclitaxel is 500 mg every 4 weeks until disease progression, unacceptable toxicity, or up to 12 months. The recommended dose of retifanlimab-dlwr as a single agent is 500 mg every 4 weeks until disease progression, unacceptable toxicity, or up to 24 months. Refer to the prescribing information for carboplatin and paclitaxel for recommended dosing information in combination with retifanlimab.
This review used the Assessment Aid, a voluntary submission from the applicant to facilitate the FDA’s assessment.
Retifanlimab-dlwr was granted orphan drug designation for the treatment of anal cancer and this application was granted fast track designation and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05/15/2025
Regulated Product(s)
Drugs</t>
  </si>
  <si>
    <t xml:space="preserve">ID_38</t>
  </si>
  <si>
    <t xml:space="preserve">FDA grants accelerated approval to the combination of avutometinib and defactinib for KRAS-mutated recurrent low-grade serous ovarian cancer</t>
  </si>
  <si>
    <t xml:space="preserve">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</si>
  <si>
    <t xml:space="preserve">https://www.fda.gov/drugs/resources-information-approved-drugs/fda-grants-accelerated-approval-combination-avutometinib-and-defactinib-kras-mutated-recurrent-low</t>
  </si>
  <si>
    <t xml:space="preserve">2025-05-08</t>
  </si>
  <si>
    <t xml:space="preserve">FDA grants accelerated approval to the combination of avutometinib and defactinib for KRAS-mutated recurrent low-grade serous ovarian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
Full prescribing information for Avmapki Fakzynja Co-pack will be posted on Drugs@FDA.
Efficacy was evaluated in RAMP-201 (NCT04625270), an open-label, multicenter trial that included 57 adult patients with measurable KRAS-mutated recurrent LGSOC. Patients were required to have received at least one prior systemic therapy, including a platinum-based regimen. KRAS mutation status was determined by prospective local testing of tumor tissue. Patients received avutometinib 3.2 mg orally twice weekly (Day 1 and Day 4) and defactinib 200 mg orally twice daily, both taken for the first 3 weeks of each 4-week cycle until disease progression or unacceptable toxicity.
The major efficacy outcome measure was overall response rate (ORR) assessed by blinded independent review committee according to RECIST v1.1. An additional efficacy outcome measure was duration of response (DOR). Confirmed ORR was 44% (95% CI: 31, 58) and the DOR range was 3.3 months to 31.1 months.
The most common adverse reactions (≥25%), including laboratory abnormalities, were increased creatine phosphokinase, nausea, fatigue, increased aspartate aminotransferase, rash, diarrhea, musculoskeletal pain, edema, decreased hemoglobin, increased alanine aminotransferase, vomiting, increased blood bilirubin, increased triglycerides, decreased lymphocyte count, abdominal pain, dyspepsia, dermatitis acneiform, vitreoretinal disorders, increased alkaline phosphatase, stomatitis, pruritus, visual impairment, decreased platelet count, constipation, dry skin, dyspnea, cough, urinary tract infection, and decreased neutrophil count.
The recommended avutometinib dose is 3.2 mg (four 0.8 mg capsules) taken orally twice weekly (Day 1 and Day 4) for the first 3 weeks of each 4-week cycle until disease progression or unacceptable toxicity. The recommended defactinib dose is 200 mg (one tablet) taken orally twice daily for the first 3 weeks of each 4-week cycle until disease progression or unacceptable toxicity.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Avutometinib in combination with defactinib was granted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05/08/2025
Regulated Product(s)
Drugs</t>
  </si>
  <si>
    <t xml:space="preserve">ID_39</t>
  </si>
  <si>
    <t xml:space="preserve">FDA approves penpulimab-kcqx for non-keratinizing nasopharyngeal carcinoma</t>
  </si>
  <si>
    <t xml:space="preserve">On April 23, 2025, the Food and Drug Administration approved penpulimab-kcqx (Akeso Biopharma Co., Ltd.) with cisplatin or carboplatin and gemcitabine for the first-line treatment of adults with recurrent or metastatic non-keratinizing nasopharyngeal carcinoma (NPC).</t>
  </si>
  <si>
    <t xml:space="preserve">https://www.fda.gov/drugs/resources-information-approved-drugs/fda-approves-penpulimab-kcqx-non-keratinizing-nasopharyngeal-carcinoma</t>
  </si>
  <si>
    <t xml:space="preserve">2025-04-23</t>
  </si>
  <si>
    <t xml:space="preserve">FDA approves penpulimab-kcqx for non-keratinizing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23, 2025, the Food and Drug Administration approved penpulimab-kcqx (Akeso Biopharma Co., Ltd.) with cisplatin or carboplatin and gemcitabine for the first-line treatment of adults with recurrent or metastatic non-keratinizing nasopharyngeal carcinoma (NPC). FDA also approved penpulimab-kcqx as a single agent for adults with metastatic non-keratinizing NPC with disease progression on or after platinum-based chemotherapy and at least one other prior line of therapy.
Full prescribing information for penpulimab-kcqx will be posted on Drugs@FDA.
Efficacy and Safety
Efficacy of penpulimab-kcqx with cisplatin or carboplatin and gemcitabine was evaluated in Study AK105-304 (NCT04974398), a randomized, double-blind, multi-center trial in 291 patients with recurrent or metastatic NPC who had not received previous systemic chemotherapy for recurrent or metastatic disease. Patients were randomized (1:1) to receive either penpulimab-kcqx with cisplatin or carboplatin and gemcitabine, followed by penpulimab-kcqx, or placebo with cisplatin or carboplatin and gemcitabine, followed by placebo. Chemotherapy regimens are described in the full prescribing information.
The primary efficacy outcome measure was progression-free survival (PFS), as assessed by a Blinded Independent Review Committee according to RECIST v1.1. Overall survival (OS) was a key secondary endpoint. Median PFS was 9.6 months (95% CI: 7.1, 12.5) in the penpulimab-kcqx arm and 7.0 months (95% CI: 6.9, 7.3) in the placebo arm (hazard ratio [HR] 0.45 [95% CI: 0.33, 0.62], two-sided p-value &lt;0.0001), with 31% and 11% of patients alive and progression-free after 12 months of follow-up in the penpulimab-kcqx and placebo arms, respectively. While OS results were immature, with 70% of pre-specified deaths for the final analysis reported, no detrimental trend was observed.
Efficacy of single-agent penpulimab-kcqx was evaluated in Study AK105-202 (NCT03866967), an open-label, multicenter, single-arm trial conducted in a single country. The trial included a total of 125 patients with unresectable or metastatic non-keratinizing NPC who had disease progression after platinum-based chemotherapy and at least one other line of therapy. Patients received penpulimab-kcqx until disease progression or unacceptable toxicity, for a maximum of 24 months.
The major efficacy outcome measures were objective response rate (ORR) and duration of response (DOR) according to RECIST v1.1 as assessed by an Independent Radiology Review Committee. The ORR was 28% (95% CI: 20, 37) and median DOR was not reached (95% CI: 9.2, not estimable).
Immune-mediated adverse reactions occurred with penpulimab-kcqx including pneumonitis, colitis, hepatitis, endocrinopathies, nephritis with renal dysfunction, and skin adverse reactions. The most common adverse reactions (≥20%) for penpulimab-kcqx with cisplatin or carboplatin and gemcitabine were nausea, vomiting, hypothyroidism, constipation, decreased appetite, decreased weight, cough, COVID-19 infection, fatigue, rash, and pyrexia. The most common adverse reactions (≥20%) for single-agent penpulimab-kcqx were hypothyroidism and musculoskeletal pain. Fatal adverse reactions occurred in 1% of patients, including a case each of pneumonitis, septic shock, colitis, and hepatitis.
The recommended penpulimab-kcqx dose with cisplatin or carboplatin and gemcitabine is 200 mg every three weeks until disease progression or unacceptable toxicity, for a maximum of 24 months. The recommended single-agent penpulimab-kcqx dose for previously treated NPC is 200 mg every two weeks until disease progression or unacceptable toxicity, for a maximum of 24 months.
Expedited Programs
This review used the Assessment Aid, a voluntary submission from the applicant to facilitate the FDA’s assessment.
This application was granted fast track designation,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04/24/2025
Regulated Product(s)
Drugs</t>
  </si>
  <si>
    <t xml:space="preserve">ID_40</t>
  </si>
  <si>
    <t xml:space="preserve">FDA approves nivolumab with ipilimumab for unresectable or metastatic hepatocellular carcinoma</t>
  </si>
  <si>
    <t xml:space="preserve">On April 11, 2025, the Food and Drug Administration approved nivolumab (Opdivo, Bristol Myers Squibb Company) with ipilimumab (Yervoy, Bristol Myers Squibb Company) for the first-line treatment of adult patients with unresectable or metastatic hepatocellular carcinoma (HCC).</t>
  </si>
  <si>
    <t xml:space="preserve">https://www.fda.gov/drugs/resources-information-approved-drugs/fda-approves-nivolumab-ipilimumab-unresectable-or-metastatic-hepatocellular-carcinoma</t>
  </si>
  <si>
    <t xml:space="preserve">2025-04-11</t>
  </si>
  <si>
    <t xml:space="preserve">FDA approves nivolumab with ipilimumab for unresectable or metastatic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11, 2025, the Food and Drug Administration approved nivolumab (Opdivo, Bristol Myers Squibb Company) with ipilimumab (Yervoy, Bristol Myers Squibb Company) for the first-line treatment of adult patients with unresectable or metastatic hepatocellular carcinoma (HCC).
Full prescribing information for Opdivo will be posted on Drugs@FDA.
Efficacy and Safety
Efficacy was evaluated in CHECKMATE-9DW (NCT04039607), a randomized (1:1), open-label trial in 668 adults with unresectable or metastatic HCC. Patients had histologically confirmed HCC, Child Pugh Class A, ECOG performance status 0 or 1, and no prior systemic therapy for advanced disease. Patients were randomized to receive either nivolumab 1 mg/kg as an intravenous (IV) infusion with ipilimumab 3 mg/kg IV every 3 weeks for a maximum of 4 doses, followed by single agent nivolumab 480 mg IV every 4 weeks, or investigator’s choice of lenvatinib or sorafenib.
The primary efficacy outcome measure was overall survival (OS) in all randomized patients. Overall response rate (ORR) based on RECIST 1.1 criteria, assessed by blinded independent central review, was an additional efficacy outcome measure. Median OS was 23.7 months (95% CI: 18.8, 29.4) in the nivolumab + ipilimumab arm and 20.6 months (95% CI: 17.5, 22.5) in the lenvatinib or sorafenib arm (Hazard Ratio 0.79 [95% CI: 0.65, 0.96] p-value &lt;0.0180. ORR was 36.1% (95% CI: 31.0, 41.5) and 13.2% (95% CI: 9.8, 17.3) in the respective arms (p-value &lt;0.0001).
The most common adverse reactions (&gt;20%) were rash, pruritus, fatigue, and diarrhea.
The recommended nivolumab dose is 1 mg/kg with ipilimumab 3 mg/kg intravenously every three weeks for a maximum of four doses, followed by nivolumab 240 mg IV every 2 weeks or nivolumab 480 mg IV as a single agent every 4 weeks.
This review was conducted under Project Orbis, an initiative of the FDA Oncology Center of Excellence. Project Orbis provides a framework for concurrent submission and review of oncology drugs among international partners. For this review, FDA collaborated with Health Canada and Switzerland’s Swissmedic. The application reviews are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04/11/2025
Regulated Product(s)
Drugs</t>
  </si>
  <si>
    <t xml:space="preserve">ID_41</t>
  </si>
  <si>
    <t xml:space="preserve">FDA approves nivolumab with ipilimumab for unresectable or metastatic MSI-H or dMMR colorectal cancer</t>
  </si>
  <si>
    <t xml:space="preserve">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</si>
  <si>
    <t xml:space="preserve">https://www.fda.gov/drugs/resources-information-approved-drugs/fda-approves-nivolumab-ipilimumab-unresectable-or-metastatic-msi-h-or-dmmr-colorectal-cancer</t>
  </si>
  <si>
    <t xml:space="preserve">2025-04-08</t>
  </si>
  <si>
    <t xml:space="preserve">FDA approves nivolumab with ipilimumab for unresectable or metastatic MSI-H or dMMR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
Full prescribing information for Opdivo and Yervoy will be posted on Drugs@FDA.
Efficacy and Safety
Efficacy of nivolumab with ipilimumab was evaluated in CHECKMATE-8HW (NCT04008030), a randomized, three-arm, open-label trial in immunotherapy-naïve patients with unresectable or metastatic CRC with known MSI-H or dMMR status. Patients were randomized to receive one of the following treatments:
nivolumab 240 mg every 3 weeks and ipilimumab 1 mg/kg every 3 weeks for a maximum of 4 doses, then nivolumab 480 mg every 4 weeks,
nivolumab 240 mg every 2 weeks for 6 doses, then nivolumab 480 mg every 4 weeks, or
investigator’s choice chemotherapy:
The major efficacy outcome measure was progression-free survival (PFS) assessed by blinded independent central review (BICR) per RECIST v1.1 in patients with centrally confirmed MSI-H/dMMR status in the following pre-specified settings:
First-line setting: nivolumab + ipilimumab versus chemotherapy,
All lines: nivolumab + ipilimumab versus nivolumab alone.
The analysis of nivolumab + ipilimumab versus chemotherapy in the first line setting was conducted in 255 patients with centrally confirmed MSI-H/dMMR status of 303 patients based on local testing. Median PFS was not reached (NR) (95% CI: 38.4, not estimable [NE]) in the nivolumab + ipilimumab arm and 5.8 months (95% CI: 4.4, 7.8) in the chemotherapy arm (Hazard ratio 0.21 [95% CI: 0.14, 0.32] p-value &lt;0.0001). Comparative results of ORR and OS between arms were not available at the time of the interim PFS analysis due to statistical testing strategy.
The analysis of nivolumab + ipilimumab versus nivolumab (all lines) was conducted in 582 patients with centrally confirmed MSI-H/dMMR status of 707 patients based on local testing. Median PFS was NR (95% CI: 53.8, NE) in the nivolumab + ipilimumab arm and 39.3 months (95% CI: 22.1, NE) in the nivolumab arm (Hazard ratio 0.62 [95% CI: 0.48, 0.81] p-value 0.0003). ORR was 71% (95% CI: 65, 76) in the nivolumab + ipilimumab arm and 58% (95% CI: 52, 63) in the nivolumab arm (p-value 0.0011). The comparative results of OS between arms were not available at the interim PFS analysis due to statistical testing strategy.
The most common adverse reactions reported in ≥20% of patients treated with nivolumab with ipilimumab were fatigue, diarrhea, pruritus, abdominal pain, musculoskeletal pain, and nausea. The most common adverse reactions reported in ≥20% of patients treated with nivolumab as a single agent were fatigue, diarrhea, abdominal pain, pruritis, and musculoskeletal pain.
See the prescribing information for the recommended doses of nivolumab and ipilimumab.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the Israel Ministry of Health (IMoH), and Health Canada (HC). The application reviews are ongoing at the other regulatory agencies.
This review used the Assessment Aid, a voluntary submission from the applicant to facilitate the FDA’s assessment. The FDA approved this application 10 weeks ahead of the FDA goal date.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04/08/2025
Regulated Product(s)
Drugs</t>
  </si>
  <si>
    <t xml:space="preserve">ID_42</t>
  </si>
  <si>
    <t xml:space="preserve">FDA approves durvalumab for muscle invasive bladder cancer</t>
  </si>
  <si>
    <t xml:space="preserve">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</si>
  <si>
    <t xml:space="preserve">https://www.fda.gov/drugs/resources-information-approved-drugs/fda-approves-durvalumab-muscle-invasive-bladder-cancer</t>
  </si>
  <si>
    <t xml:space="preserve">2025-03-28</t>
  </si>
  <si>
    <t xml:space="preserve">FDA approves durvalumab for 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
Full prescribing information for Imfinzi will be posted on Drugs@FDA. 
Efficacy and Safety
Efficacy was evaluated in NIAGARA (NCT03732677), a randomized, open-label, multicenter, Phase III trial enrolling 1,063 patients who were candidates for radical cystectomy and had not received prior systemic therapy for bladder cancer. Patients were randomized (1:1) to receive neoadjuvant durvalumab with chemotherapy followed by adjuvant durvalumab after surgery or neoadjuvant chemotherapy followed by surgery alone.
The major efficacy outcome was event-free survival (EFS) by blinded independent central review. Overall survival (OS) was an additional efficacy outcome. At a pre-specified interim analysis, the trial demonstrated a statistically significant improvement in EFS and OS. Median EFS was not reached (NR) (95% CI: NR, NR) in the durvalumab with chemotherapy arm and 46.1 months (95% CI: 32.2, NR) in the chemotherapy arm (hazard ratio 0.68 [95% CI: 0.56, 0.82]; two-sided p-value &lt;0.0001). Median OS was not reached in either arm (hazard ratio 0.75 [95% CI: 0.59, 0.93]; two-sided p-value=0.0106).
Adverse reactions were consistent with prior experience with durvalumab with platinum-based chemotherapy.
The recommended durvalumab dose for patients with a body weight of ≥30 kg is 1,500 mg every 3 weeks with chemotherapy (neoadjuvant treatment) and 1,500 mg as a single agent every 4 weeks (adjuvant treatment). The recommended durvalumab dose for patients with a body weight &lt;30 kg is 20 mg/kg with chemotherapy every 3 weeks (neoadjuvant treatment) and 20 mg/kg as a single agent every 4 weeks (adjuvant treatment). Treatment should continue until disease progression that precludes definitive surgery, recurrence, or unacceptable toxicity or a maximum of 8 cycles after surgery.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03/28/2025
Regulated Product(s)
Drugs
Oncology</t>
  </si>
  <si>
    <t xml:space="preserve">ID_45</t>
  </si>
  <si>
    <t xml:space="preserve">FDA approves pembrolizumab for HER2 positive gastric or gastroesophageal junction adenocarcinoma expressing PD-L1 (CPS ≥1)</t>
  </si>
  <si>
    <t xml:space="preserve">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</si>
  <si>
    <t xml:space="preserve">https://www.fda.gov/drugs/resources-information-approved-drugs/fda-approves-pembrolizumab-her2-positive-gastric-or-gastroesophageal-junction-adenocarcinoma</t>
  </si>
  <si>
    <t xml:space="preserve">2025-03-19</t>
  </si>
  <si>
    <t xml:space="preserve">FDA approves pembrolizumab for HER2 positive gastric or gastroesophageal junction adenocarcinoma expressing PD-L1 (CPS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
Pembrolizumab previously received accelerated approval for this indication on May 5, 2021, based on interim analysis of the trial described below.
Full prescribing information for Keytruda will be posted on Drugs@FDA. 
Efficacy and Safety
Efficacy was evaluated in KEYNOTE-811 (NCT03615326), a multicenter, randomized, double-blind, placebo-controlled trial enrolling 698 patients with HER2-positive advanced gastric or GEJ adenocarcinoma not previously treated with systemic therapy for metastatic disease. Among the 698 patients, 594 (85%) had tumors expressing PD-L1 with a CPS ≥1 using the PD-L1 IHC 22C3 pharmDx kit. Patients were randomized (1:1) to pembrolizumab 200 mg or placebo, in combination with trastuzumab and either fluorouracil plus cisplatin or capecitabine plus oxaliplatin.
The major efficacy outcome measures assessed in patients were progression-free survival (PFS) by blinded independent central review (BICR) and overall survival (OS). Additional outcome measures included overall response rate (ORR) and duration of response (DOR). A statistically significant improvement in OS and PFS was demonstrated in patients randomized to pembrolizumab in combination with trastuzumab and chemotherapy compared with placebo in combination with trastuzumab and chemotherapy. In patients with tumors that were PDL1 CPS≥1, median PFS was 10.9 months (95% CI: 8.5, 12.5) in the pembrolizumab arm and 7.3 months (95% CI: 6.8, 8.4) in the placebo arm (Hazard ratio [HR] 0.72 [95% CI: 0.60, 0.87]). Median OS was 20.1 months (95% CI: 17.9, 22.9) and 15.7 months (95% CI: 13.5, 18.5) in the respective arms (HR 0.79 [95% CI: 0.66, 0.95]. ORR was 73% (95% CI: 68, 78) and 58% (95% CI: 53, 64) and median DOR was 11.3 months (95% CI: 9.9, 13.7) and 9.6 months (95% CI: 7.1, 11.2).
The adverse reaction profile observed in patients receiving pembrolizumab was consistent with the known pembrolizumab safety profile.
The recommended pembrolizumab dose is 200 mg every 3 weeks or 400 mg every 6 weeks in combination with trastuzumab and chemotherapy.
Expedited Programs
This review used the Assessment Aid, a voluntary submission from the applicant to facilitate the FDA’s assessment.
This drug development program was consistent with Project FrontRunner, an FDA Oncology Center of Excellence (OCE) initiative to encourage sponsors to develop cancer drugs for advanced or metastatic disease in an earlier line of treatment.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03/19/2025
Regulated Product(s)
Drugs
Oncology</t>
  </si>
  <si>
    <t xml:space="preserve">ID_47</t>
  </si>
  <si>
    <t xml:space="preserve">FDA approves brentuximab vedotin with lenalidomide and rituximab for relapsed or refractory large B-cell lymphoma</t>
  </si>
  <si>
    <t xml:space="preserve">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</si>
  <si>
    <t xml:space="preserve">https://www.fda.gov/drugs/resources-information-approved-drugs/fda-approves-brentuximab-vedotin-lenalidomide-and-rituximab-relapsed-or-refractory-large-b-cell</t>
  </si>
  <si>
    <t xml:space="preserve">2025-02-12</t>
  </si>
  <si>
    <t xml:space="preserve">FDA approves brentuximab vedotin with lenalidomide and rituximab for relapsed or refractory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
Full prescribing information for Adcetris will be posted on Drugs@FDA. 
Efficacy and Safety
Approval was based on ECHELON-3 (NCT04404283), a randomized, double-blind, placebo-controlled trial enrolling 230 adult patients with relapsed or refractory LBCL who were ineligible to receive an auto-HSCT or CAR T-cell therapy. Patients were randomized 1:1 to receive brentuximab vedotin plus lenalidomide and rituximab (BV+R2) or placebo plus lenalidomide and rituximab (Pbo+R2) until disease progression or unacceptable toxicity.
The major efficacy outcome measure was overall survival (OS). Additional efficacy outcome measures included progression-free survival (PFS) and objective response rate (ORR) per 2014 Lugano Criteria. The trial demonstrated a statistically significant OS improvement with a median OS of 13.8 months (95% CI: 10.3, 18.8) in the BV+R2 arm and 8.5 months (95% CI: 5.4, 11.7) in the Pbo+R2 arm (Hazard ratio [HR] 0.63, 95% CI: 0.45, 0.89; p-value 0.0085). The trial also demonstrated a statistically significant improvement in PFS and ORR. Median PFS was 4.2 months (95% CI: 2.9, 7.1) with BV+R2 and 2.6 months (95% CI: 1.4, 3.1) with Pbo+R2 (HR 0.53, 95% CI: 0.38, 0.73; p-value &lt;0.0001). The ORR was 64.3% (95% CI: 54.7, 73.1) and 41.5% (95% CI: 32.5, 51.0), respectively.
Adverse Reactions
The most common adverse reactions (≥20%), excluding laboratory abnormalities in the BV+R2 arm were fatigue, diarrhea, peripheral neuropathy, rash, pneumonia, and COVID-19 infection. Grade 3 to 4 laboratory abnormalities occurring in more than 10% were decreased neutrophils, decreased lymphocytes, decreased platelets, and decreased hemoglobin. Peripheral neuropathy developed or worsened in 27% of patients, was predominantly sensory, and led to brentuximab vedotin dose reduction in 6% and discontinuation in 4.5%. 
The recommended brentuximab vedotin dose is 1.2 mg/kg up to a maximum of 120 mg in combination with lenalidomide and rituximab administered every three weeks until disease progression or unacceptable toxicity.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02/12/2025
Regulated Product(s)
Drugs</t>
  </si>
  <si>
    <t xml:space="preserve">ID_49</t>
  </si>
  <si>
    <t xml:space="preserve">FDA approves treosulfan with fludarabine as a preparative regimen for alloHSCT in adult and pediatric patients with AML or MDS</t>
  </si>
  <si>
    <t xml:space="preserve">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</si>
  <si>
    <t xml:space="preserve">https://www.fda.gov/drugs/resources-information-approved-drugs/fda-approves-treosulfan-fludarabine-preparative-regimen-allohsct-adult-and-pediatric-patients-aml-or</t>
  </si>
  <si>
    <t xml:space="preserve">2025-02-06</t>
  </si>
  <si>
    <t xml:space="preserve">FDA approves treosulfan with fludarabine as a preparative regimen for alloHSCT in adult and pediatric patients with AML or MDS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
Full prescribing information for Grafapex will be posted on Drugs@FDA.
Efficacy and Safety
Efficacy was evaluated in MC-FludT.14/L Trial II (NCT00822393), a randomized active-controlled trial comparing treosulfan to busulfan with fludarabine as a preparative regimen for allogeneic transplantation. Eligible patients included adults 18 to 70 years old with AML or MDS, Karnofsky performance status ≥ 60%, and age ≥ 50 years or hematopoietic cell transplantation comorbidity index [HCTCI] score &gt; 2. There were 570 patients randomized to treosulfan (n=280) or busulfan (n=290).
The major efficacy outcome measure was overall survival (OS), defined as the time from randomization until death from any cause. The hazard ratio for OS (stratified by donor type and risk group) compared to busulfan was 0.67 (95% CI: 0.51, 0.90) in the randomized population, 0.73 (95% CI: 0.51, 1.06) in patients with AML, and 0.64 (95% CI: 0.40, 1.02) in patients with MDS.
The most common adverse reactions (≥20%) were musculoskeletal pain, stomatitis, pyrexia, nausea, edema, infection, and vomiting. Selected Grade 3 or 4 nonhematological laboratory abnormalities were increased GGT, increased bilirubin, increased ALT, increased AST, and increased creatinine.
Recommended Dose
The recommended treosulfan dose is 10 g/m2 daily on days -4, -3, and -2 in combination with fludarabine 30 mg/m2 daily on days -6, -5, -4, -3, and -2, and allogeneic hematopoietic stem cell infusion on day 0.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02/06/2025
Regulated Product(s)
Drugs</t>
  </si>
  <si>
    <t xml:space="preserve">ID_53</t>
  </si>
  <si>
    <t xml:space="preserve">FDA approves sotorasib with panitumumab for KRAS G12C-mutated colorectal cancer</t>
  </si>
  <si>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</si>
  <si>
    <t xml:space="preserve">https://www.fda.gov/drugs/resources-information-approved-drugs/fda-approves-sotorasib-panitumumab-kras-g12c-mutated-colorectal-cancer</t>
  </si>
  <si>
    <t xml:space="preserve">2025-01-16</t>
  </si>
  <si>
    <t xml:space="preserve">FDA approves sotorasib with panitumumab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Today, the FDA also approved the therascreen KRAS RGQ PCR Kit (QIAGEN GmbH) as a companion diagnostic device to aid in identifying patients with colorectal cancer whose tumors harbor KRAS G12C mutations and who may be eligible for Lumakras with Vectibix.
Full prescribing information for Lumakras and Vectibix will be posted on Drugs@FDA.
Efficacy and Safety
Efficacy was evaluated in CodeBreaK 300 (NCT05198934), a randomized, open-label, controlled trial in patients with KRAS G12C-mutated mCRC who previously received fluoropyrimidine-, oxaliplatin-, and irinotecan-based chemotherapy. Mutations were prospectively identified in tumor tissue samples using the QIAGEN therascreen KRAS RGQ PCR kit. A total of 160 patients were randomized (1:1:1) to receive either sotorasib 960 mg orally once daily and panitumumab 6 mg/kg IV every 2 weeks, sotorasib 240 mg orally once daily and panitumumab 6 mg/kg IV every 2 weeks, or investigator’s choice of standard of care (SOC) trifluridine/tipiracil or regorafenib.
The major efficacy outcome measure was progression-free survival (PFS) as evaluated by blinded independent central review according to RECIST v1.1. Additional efficacy outcome measures included overall survival (OS), overall response rate (ORR), and duration of response (DOR). The study was not statistically powered for OS. Median PFS was 5.6 months (95% CI: 4.2, 6.3) in the sotorasib 960 mg/panitumumab arm and 2 months (95% CI: 1.9, 3.9) in the SOC arm (hazard ratio 0.48 [95% CI: 0.3, 0.78] 2-sided p-value 0.005). The final analysis of OS was not statistically significant. ORR was 26% (95% CI: 15, 40) in the sotorasib 960 mg/panitumumab arm and 0 (95% CI: 0, 7) in the SOC arm. Median DOR was 4.4 months (range: 1.9+, 6+) in the sotorasib 960 mg/panitumumab arm.
The final analysis of PFS for patients randomized to the sotorasib 240 mg/panitumumab arm compared to the SOC arm was not statistically significant.
The most common adverse reactions (≥20%) for sotorasib 960 mg/panitumumab were rash, dry skin, diarrhea, stomatitis, fatigue, and musculoskeletal pain. The most common Grade 3-4 laboratory abnormalities in ≥ 2 patients were decreased magnesium, decreased potassium, decreased corrected calcium, and increased potassium.
The recommended sotorasib dose is 960 mg orally once daily. The recommended panitumumab dose is 6 mg/kg administered as an IV infusion every 14 days until disease progression, unacceptable toxicity, or until sotorasib is withheld or discontinued. Administer the first dose of sotorasib before the first panitumumab infusion.
This review used the Real-Time Oncology Review (RTOR) pilot program, which streamlined data submission prior to the filing of the entire clinical application, and the Assessment Aid, a voluntary submission from the applicant to facilitate the FDA’s assessment.
Expedited Programs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at240-402-0004 or email OncProjectFacilitate@fda.hhs.gov.
Follow the Oncology Center of Excellence on X: @FDAOncology.
Content current as of:
01/16/2025
Regulated Product(s)
Drugs
Oncology</t>
  </si>
  <si>
    <t xml:space="preserve">ID_54</t>
  </si>
  <si>
    <t xml:space="preserve">FDA approves acalabrutinib with bendamustine and rituximab for previously untreated mantle cell lymphoma</t>
  </si>
  <si>
    <t xml:space="preserve">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</si>
  <si>
    <t xml:space="preserve">https://www.fda.gov/drugs/resources-information-approved-drugs/fda-approves-acalabrutinib-bendamustine-and-rituximab-previously-untreated-mantle-cell-lymphoma</t>
  </si>
  <si>
    <t xml:space="preserve">FDA approves acalabrutinib with bendamustine and rituximab for previously untreated mantle 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
FDA also granted traditional approval to acalabrutinib as a single agent for adults with previously treated MCL. Acalabrutinib received accelerated approval for this indication in 2017.
Full prescribing information for Calquence will be posted on Drugs@FDA.
Efficacy and Safety
Efficacy was evaluated in ECHO (NCT02972840), a randomized, double-blind, placebo controlled, multicenter trial in 598 patients with untreated MCL who were ≥65 years of age and not intended to receive HSCT. Patients were randomized (1:1) to receive acalabrutinib plus bendamustine and rituximab (acalabrutinib plus BR) or placebo plus BR.
Efficacy was based on progression-free survival (PFS), as assessed by an independent review committee. With a median follow-up of 49.8 months, PFS was statistically significantly longer in the acalabrutinib arm (hazard ratio 0.73 [95% CI: 0.57, 0.94], p-value 0.016). The median PFS was 66.4 months (95% CI: 55.1, not estimable) in the acalabrutinib plus BR arm and 49.6 months (95% CI: 36.0, 64.1) in the placebo plus BR arm.
Serious adverse reactions occurred in 69% of patients with acalabrutinib plus BR, and fatal adverse reactions occurred in 12%. Serious adverse reactions reported in ≥2% of patients were pneumonia, COVID-19, pyrexia, second primary malignancy, rash, febrile neutropenia, atrial fibrillation, sepsis, and anemia.
The recommended acalabrutinib dose is 100 mg taken orally approximately every 12 hours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Expedited Programs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01/16/2025
Regulated Product(s)
Drugs</t>
  </si>
  <si>
    <t xml:space="preserve">ID_56</t>
  </si>
  <si>
    <t xml:space="preserve">FDA grants accelerated approval to encorafenib with cetuximab and mFOLFOX6 for metastatic colorectal cancer with a BRAF V600E mutation</t>
  </si>
  <si>
    <t xml:space="preserve">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</si>
  <si>
    <t xml:space="preserve">https://www.fda.gov/drugs/resources-information-approved-drugs/fda-grants-accelerated-approval-encorafenib-cetuximab-and-mfolfox6-metastatic-colorectal-cancer-braf</t>
  </si>
  <si>
    <t xml:space="preserve">2024-12-20</t>
  </si>
  <si>
    <t xml:space="preserve">FDA grants accelerated approval to encorafenib with cetuximab and mFOLFOX6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
Full prescribing information for Braftovi will be posted on Drugs@FDA. 
Efficacy and Safety
Efficacy was evaluated in BREAKWATER (NCT04607421), an active-controlled, open-label, multicenter trial. Patients were required to have treatment naïve BRAF V600E mutation-positive mCRC, detected by the Qiagen therascreen BRAF V600E RGQ polymerase chain reaction kit. Patients were initially randomized 1:1:1 to one of the following treatment arms:
encorafenib orally once daily with cetuximab IV infusion every 2 weeks (encorafenib+cetuximab arm), 
encorafenib orally once daily with cetuximab IV infusion every 2 weeks and mFOLFOX6 every 2 weeks (encorafenib+cetuximab+mFOLFOX6 arm), or
mFOLFOX6, FOLFOXIRI (both every 2 weeks) or CAPOX (every 3 weeks)-each with or without bevacizumab (control arm).
The trial was subsequently amended to limit randomization (1:1) to the encorafenib +cetuximab+mFOLFOX6 arm and the control arm. Treatment in all arms continued until disease progression, unacceptable toxicity, consent withdrawal, lost to follow-up, or death. The results of the encorafenib + cetuximab + mFOLFOX6 arm compared to the control arm served as the basis of this accelerated approval and are described below.
The major efficacy outcome measure was confirmed objective response rate (ORR) assessed by blinded independent central review and evaluated in the first 110 patients randomized in each arm. ORR was 61% (95% CI: 52%, 70%) in the encorafenib+ cetuximab, + mFOLFOX6 arm and 40% (95% CI: 31%, 49%) in the control arm. Median DoR was 13.9 months (95% CI: 8.5, not estimable) and 11.1 months (95% CI: 6.7, 12.7) in the respective arms.
Evaluation of progression-free survival and overall survival in the ongoing BREAKWATER trial will serve as post-marketing confirmatory evidence for this accelerated approval. This application is an example of the Oncology Center of Excellence’s Project FrontRunner aimed at moving important therapies to earlier disease settings.
The most common adverse reactions (≥25%) were peripheral neuropathy, nausea, fatigue, rash, diarrhea, decreased appetite, vomiting, hemorrhage, abdominal pain, and pyrexia. The most common Grade 3 or 4 laboratory abnormalities (≥20%) were increased lipase and decreased neutrophil count.
The recommended encorafenib dose is 300 mg (four 75 mg capsules) orally once daily in combination with cetuximab and mFOLFOX6 (fluorouracil, leucovorin, and oxaliplatin) until disease progression or unacceptable toxicity. Full dosing information is provided in the prescribing information.
This review was conducted under Project Orbis, an initiative of the FDA Oncology Center of Excellence. Project Orbis provides a framework for concurrent submission and review of oncology drugs among international partners. For this review, FDA collaborated with Health Canada. The application review is ongoing at the other regulatory agencies.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12/20/2024
Regulated Product(s)
Drugs</t>
  </si>
  <si>
    <t xml:space="preserve">ID_67</t>
  </si>
  <si>
    <t xml:space="preserve">FDA approves zolbetuximab-clzb with chemotherapy for gastric or gastroesophageal junction adenocarcinoma </t>
  </si>
  <si>
    <t xml:space="preserve">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</si>
  <si>
    <t xml:space="preserve">https://www.fda.gov/drugs/resources-information-approved-drugs/fda-approves-zolbetuximab-clzb-chemotherapy-gastric-or-gastroesophageal-junction-adenocarcinoma</t>
  </si>
  <si>
    <t xml:space="preserve">2024-10-18</t>
  </si>
  <si>
    <t xml:space="preserve">FDA approves zolbetuximab-clzb with chemotherapy for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
Today, FDA also approved the VENTANA CLDN18 (43-14A) RxDx Assay (Ventana Medical Systems, Inc./Roche Diagnostics) as a companion diagnostic device to identify patients with gastric or GEJ adenocarcinoma who may be eligible for treatment with zolbetuximab.
Full prescribing information for Vyloy will be posted on Drugs@FDA.
Efficacy and Safety
Efficacy was evaluated in trials SPOTLIGHT (NCT03504397) and GLOW (NCT03653507). Both were randomized (1:1), double-blind, multicenter trials that enrolled patients with CLDN18.2 positive advanced unresectable or metastatic HER2-negative gastric or GEJ adenocarcinoma. The major efficacy outcome measure in both trials was progression-free survival (PFS), as assessed per RECIST v1.1 by an independent review committee. Overall survival (OS) was an additional efficacy outcome measure.
In SPOTLIGHT, 565 patients were randomized to receive zolbetuximab-clzb with mFOLFOX6 chemotherapy or placebo with mFOLFOX6 chemotherapy. Median PFS was 10.6 months (95% CI: 8.9, 12.5) in the zolbetuximab-clzb/chemotherapy arm and 8.7 months (95% CI: 8.2, 10.3) in the placebo/chemotherapy arm (hazard ratio [HR] 0.751 [95% CI: 0.598, 0.942]; 1-sided p-value=0.0066). Median OS was 18.2 months (95% CI: 16.4, 22.9) and 15.5 months (95% CI: 13.5, 16.5), respectively, (HR 0.750 [95% CI: 0.601, 0.936]; 1-sided p-value=0.0053).
In GLOW, 507 patients were randomized to receive either zolbetuximab-clzb with CAPOX chemotherapy or placebo with CAPOX chemotherapy. Median PFS was 8.2 months (95% CI: 7.5, 8.8) in the zolbetuximab-clzb/chemotherapy arm and 6.8 months (95% CI: 6.1, 8.1) in the placebo/chemotherapy arm (hazard ratio [HR] 0.687 [95% CI: 0.544, 0.866]; 1-sided p-value=0.0007). Median OS was 14.4 months (95% CI: 12.3, 16.5) and 12.2 months (95% CI: 10.3, 13.7), respectively (HR 0.771 [95% CI: 0.615, 0.965]; 1-sided p-value=0.0118).
The most common serious adverse reactions in SPOTLIGHT (≥2%) were vomiting, nausea, neutropenia, febrile neutropenia, diarrhea, intestinal obstruction, pyrexia, pneumonia, respiratory failure, pulmonary embolism, decreased appetite, and sepsis. The most common serious adverse reactions in GLOW (≥2%) were vomiting, nausea, decreased appetite, decreased platelet count, upper gastrointestinal hemorrhage, diarrhea, pneumonia, pulmonary embolism, and pyrexia.
The recommended zolbetuximab-clzb dosage with fluoropyrimidine- and platinum-containing chemotherapy is:
First dose: 800 mg/m2 intravenously,
Subsequent dosages:
600 mg/m2 intravenously every 3 weeks, or
400 mg/m2 intravenously every 2 weeks.
Expedited Programs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10/18/2024</t>
  </si>
  <si>
    <t xml:space="preserve">ID_68</t>
  </si>
  <si>
    <t xml:space="preserve">FDA approves inavolisib with palbociclib and fulvestrant for endocrine-resistant, PIK3CA-mutated, HR-positive, HER2-negative, advanced breast cancer</t>
  </si>
  <si>
    <t xml:space="preserve">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</si>
  <si>
    <t xml:space="preserve">https://www.fda.gov/drugs/resources-information-approved-drugs/fda-approves-inavolisib-palbociclib-and-fulvestrant-endocrine-resistant-pik3ca-mutated-hr-positive</t>
  </si>
  <si>
    <t xml:space="preserve">2024-10-10</t>
  </si>
  <si>
    <t xml:space="preserve">FDA approves inavolisib with palbociclib and fulvestrant for endocrine-resistant, PIK3CA-mutated, HR-positive, HER2-negative, advanced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
FDA also approved the FoundationOne Liquid CDx assay as a companion diagnostic device to identify patients with breast cancer for treatment with inavolisib with palbociclib and fulvestrant.
Full prescribing information for Itovebi will be posted on Drugs@FDA. 
Efficacy and Safety
Efficacy was evaluated in INAVO120 (NCT04191499), a randomized, double-blind, placebo-controlled, multicenter trial in 325 patients with endocrine-resistant, PIK3CA-mutated HR-positive, HER2-negative locally advanced or metastatic breast cancer whose disease progressed during or within 12 months of completing adjuvant endocrine therapy and who had not received prior systemic therapy for locally advanced or metastatic disease. Primary endocrine resistance was defined as relapse while on the first 2 years of adjuvant endocrine therapy (ET) and secondary endocrine resistance was defined as relapse while on adjuvant ET after at least 2 years or relapse within 12 months of completing adjuvant ET.
Patients were randomized 1:1 to either inavolisib 9 mg or placebo orally once daily, with palbociclib 125 mg orally once daily for 21 consecutive days followed by 7 days off treatment to comprise a cycle of 28 days, and fulvestrant 500 mg administered intramuscularly on Cycle 1, Days 1 and 15, and then on Day 1 of every 28-day cycle. Patients received treatment until disease progression or unacceptable toxicity. Randomization was stratified by presence of visceral disease (yes or no), endocrine resistance (primary or secondary), and geographic region (North America/Western Europe, Asia, other).
The major efficacy outcome measure was investigator-assessed progression-free survival (PFS) per RECIST version 1.1. Additional efficacy outcome measures included overall survival (OS), investigator-assessed objective response rate (ORR), and duration of response (DOR). Median PFS was 15.0 months (95% CI: 11.3, 20.5) in the inavolisib + palbociclib + fulvestrant arm and 7.3 months (95% CI: 5.6, 9.3) in the placebo + palbociclib + fulvestrant arm (Hazard ratio 0.43 [95% CI: 0.32, 0.59] p-value &lt;0.0001). ORR was 58% (95% CI: 50, 66) in the inavolisib + palbociclib + fulvestrant arm and 25% (95% CI: 19, 32) in the placebo + palbociclib + fulvestrant arm. Median DOR was 18.4 months (95% CI: 10.4, 22.2) and 9.6 months (95% CI: 7.4, 16.6), respectively. Interim analysis of overall survival based on 63% information fraction did not reach statistical significance but was supportive of the overall benefit risk assessment with a HR of 0.64 (95% CI: 0.43, 0.97).
The most common adverse reactions (≥20%), including laboratory abnormalities, were decreased neutrophils, decreased hemoglobin, increased fasting glucose, decreased platelets, decreased lymphocytes, stomatitis, diarrhea, decreased calcium, fatigue, decreased potassium, increased creatinine, increased ALT, nausea, decreased sodium, decreased magnesium, rash, decreased appetite, COVID-19 infection, and headache.
The recommended inavolisib dose is 9 mg taken orally once daily, with or without food, until disease progression or unacceptable toxicity. Refer to the prescribing information for palbociclib and fulvestrant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Expedited Programs
This review used the Assessment Aid, a voluntary submission from the applicant to facilitate the FDA’s assessment. The FDA approved this application 7 weeks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10/10/2024
Regulated Product(s)
Drugs
Oncology</t>
  </si>
  <si>
    <t xml:space="preserve">ID_69</t>
  </si>
  <si>
    <t xml:space="preserve">FDA approves neoadjuvant/adjuvant nivolumab for resectable non-small cell lung cancer</t>
  </si>
  <si>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</si>
  <si>
    <t xml:space="preserve">https://www.fda.gov/drugs/resources-information-approved-drugs/fda-approves-neoadjuvantadjuvant-nivolumab-resectable-non-small-cell-lung-cancer</t>
  </si>
  <si>
    <t xml:space="preserve">2024-10-03</t>
  </si>
  <si>
    <t xml:space="preserve">FDA approves neoadjuvant/adjuvant nivolumab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Full prescribing information for Opdivo will be posted on Drugs@FDA. 
Efficacy and Safety
Efficacy was evaluated in CHECKMATE-77T (NCT04025879), a randomized, double-blind, placebo-controlled multicenter trial in 461 patients with previously untreated and resectable NSCLC (Stage IIA to select stage IIIB [AJCC, 8th edition]). Patients were randomized (1:1) to either nivolumab or placebo, with platinum-based chemotherapy, every 3 weeks for up to 4 cycles (neoadjuvant treatment) followed by either continued single-agent nivolumab or placebo every 4 weeks for up to 13 cycles (adjuvant treatment). 
The major efficacy outcome measure was event-free survival (EFS) by blinded independent central review. Median EFS was not reached (95% CI: 28.9, not estimable [NE]) in the nivolumab arm and 18.4 months (95% CI: 13.6, 28.1) in the chemotherapy arm (hazard ratio 0.58 [95% CI: 0.43, 0.78]; p-value 0.00025). At the prespecified interim analysis, overall survival (OS) was not formally tested for statistical significance; however, a descriptive analysis revealed no detriment. 
Adverse reactions were similar to those occurring in other clinical trials of nivolumab with chemotherapy. Of those who received neoadjuvant nivolumab, 5.3% were unable to undergo surgery due to adverse reactions compared with 3.5% in the placebo arm. In addition, 4.5% who received neoadjuvant treatment and surgery in the nivolumab arm had delays in surgery due to adverse reactions compared with 3.9% in the placebo arm. See the prescribing information for additional safety information.
The recommended nivolumab dosage is 360 mg every 3 weeks (neoadjuvant treatment) and 480 mg every 4 weeks (adjuvant treatment). Nivolumab should be administered prior to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Israel’s Ministry of Health (IMoH). The application reviews are ongoing at the other regulatory agencies.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10/03/2024
Regulated Product(s)
Drugs
Oncology</t>
  </si>
  <si>
    <t xml:space="preserve">ID_72</t>
  </si>
  <si>
    <t xml:space="preserve">FDA approves isatuximab-irfc with bortezomib, lenalidomide, and dexamethasone for newly diagnosed multiple myeloma</t>
  </si>
  <si>
    <t xml:space="preserve">On September 20, 2024, the Food and Drug Administration approved isatuximab-irfc (Sarclisa, Sanofi-Aventis U.S. LLC) with bortezomib, lenalidomide, and dexamethasone for adults with newly diagnosed multiple myeloma who are not eligible for autologous stem cell transplant (ASCT).</t>
  </si>
  <si>
    <t xml:space="preserve">https://www.fda.gov/drugs/resources-information-approved-drugs/fda-approves-isatuximab-irfc-bortezomib-lenalidomide-and-dexamethasone-newly-diagnosed-multiple</t>
  </si>
  <si>
    <t xml:space="preserve">2024-09-20</t>
  </si>
  <si>
    <t xml:space="preserve">FDA approves isatuximab-irfc with bortezomib, lenalidomide, and dexamethasone for newly diagnosed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20, 2024, the Food and Drug Administration approved isatuximab-irfc (Sarclisa, Sanofi-Aventis U.S. LLC) with bortezomib, lenalidomide, and dexamethasone for adults with newly diagnosed multiple myeloma who are not eligible for autologous stem cell transplant (ASCT).
Full prescribing information for Sarclisa will be posted on Drugs@FDA.
Efficacy and Safety
Efficacy was evaluated in IMROZ (NCT03319667), an open-label, randomized, active-controlled phase 3 trial in patients with newly diagnosed multiple myeloma who were not eligible for ASCT. Enrollment was limited to patients 80 years of age and younger. A total of 446 patients were randomized (3:2) to receive either isatuximab-irfc with bortezomib, lenalidomide, and dexamethasone (Isa-VRd) or bortezomib, lenalidomide, and dexamethasone (VRd).
The main efficacy outcome measure was progression-free survival (PFS) as assessed by an independent review committee based on International Myeloma Working Group criteria. IMROZ demonstrated an improvement in PFS in the Isa-VRd arm with a 40% reduction in risk of disease progression or death (hazard ratio 0.60 [95% CI: 0.44, 0.81]; p-value 0.0009); the median PFS was not reached (NR) (95% CI: NR, NR) in the Isa-VRd arm and was 54.3 months (95% CI: 45.2, NR) in the VRd arm.
The most common adverse reactions (≥20%) were upper respiratory tract infection, diarrhea, fatigue, peripheral sensory neuropathy, pneumonia, musculoskeletal pain, cataract, constipation, peripheral edema, rash, infusion-related reaction, insomnia, and COVID-19 infection.
The recommended isatuximab-irfc dose is 10 mg/kg actual body weight administered as an intravenous infusion. See the prescribing information for the dosage recommendations for the other drugs.
Expedited Programs
This review used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09/20/2024
Regulated Product(s)
Drugs</t>
  </si>
  <si>
    <t xml:space="preserve">ID_73</t>
  </si>
  <si>
    <t xml:space="preserve">FDA approves amivantamab-vmjw with carboplatin and pemetrexed for non-small cell lung cancer with EGFR exon 19 deletions or L858R mutations</t>
  </si>
  <si>
    <t xml:space="preserve">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</si>
  <si>
    <t xml:space="preserve">https://www.fda.gov/drugs/resources-information-approved-drugs/fda-approves-amivantamab-vmjw-carboplatin-and-pemetrexed-non-small-cell-lung-cancer-egfr-exon-19</t>
  </si>
  <si>
    <t xml:space="preserve">2024-09-19</t>
  </si>
  <si>
    <t xml:space="preserve">FDA approves amivantamab-vmjw with carboplatin and pemetrexed for non-small cell lung cancer with EGFR exon 19 deletions or L858R mutations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
Full prescribing information for Rybrevant will be posted on Drugs@FDA.
Efficacy and Safety
Efficacy was evaluated in MARIPOSA-2 (NCT04988295), a randomized, open-label, multicenter trial in 657 patients with locally advanced or metastatic NSCLC with EGFR exon 19 deletions or exon 21 L858R substitution mutations and disease progression on or after receiving osimertinib. Patients were randomized (1:2:2) to receive amivantamab-vmjw with carboplatin and pemetrexed (amivantamab + CP), carboplatin and pemetrexed (CP), or amivantamab-vmjw as part of another combination regimen.
The major efficacy outcome measure was progression-free survival (PFS) as assessed by blinded independent central review (BICR) for the comparison between amivantamab + CP and CP. Overall response rate (ORR) per BICR and overall survival (OS) were key secondary outcome measures. Median PFS was 6.3 months (95% CI: 5.6, 8.4) in the amivantamab + CP arm and 4.2 months (95% CI: 4.0, 4.4) in the CP arm (hazard ratio 0.48 [95% CI: 0.36, 0.64], p-value&lt;0.0001). The confirmed ORR was 53% (95% CI: 44, 62) in the amivantamab + CP arm and 29% (95% CI: 23, 35) in the CP arm (p-value&lt;0.0001).
At the prespecified second interim analysis of OS, with 85% of the deaths needed for the final analysis, there was no statistically significant difference in OS. The stratified OS hazard ratio was 0.73 (95% CI: 0.54, 0.99).
The most common adverse reactions (≥20%) were rash, infusion-related reactions, fatigue, nail toxicity, nausea, constipation, edema, stomatitis, decreased appetite, musculoskeletal pain, vomiting, and COVID-19 infection.
The recommended amivantamab-vmjw dose is based on baseline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and Health Canada. The application reviews are ongoing at the other regulatory agencies.
Expedited Programs
This review used the Assessment Aid, a voluntary submission from the applicant to facilitate the FDA’s assessment.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09/19/2024
Regulated Product(s)
Drugs</t>
  </si>
  <si>
    <t xml:space="preserve">ID_74</t>
  </si>
  <si>
    <t xml:space="preserve">FDA approves pembrolizumab with chemotherapy for unresectable advanced or metastatic malignant pleural mesothelioma</t>
  </si>
  <si>
    <t xml:space="preserve">On September 17, 2024, the Food and Drug Administration approved pembrolizumab (Keytruda, Merck) with pemetrexed and platinum chemotherapy as first-line treatment of unresectable advanced or metastatic malignant pleural mesothelioma (MPM).</t>
  </si>
  <si>
    <t xml:space="preserve">https://www.fda.gov/drugs/resources-information-approved-drugs/fda-approves-pembrolizumab-chemotherapy-unresectable-advanced-or-metastatic-malignant-pleural</t>
  </si>
  <si>
    <t xml:space="preserve">2024-09-17</t>
  </si>
  <si>
    <t xml:space="preserve">FDA approves pembrolizumab with chemotherapy for unresectable advanced or metastatic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pembrolizumab (Keytruda, Merck) with pemetrexed and platinum chemotherapy as first-line treatment of unresectable advanced or metastatic malignant pleural mesothelioma (MPM).
Full prescribing information for Keytruda will be posted on Drugs@FDA. 
Efficacy and Safety
Efficacy was investigated in KEYNOTE-483 (NCT02784171), a randomized, open-label trial in patients with unresectable advanced or metastatic MPM and no prior systemic therapy for advanced/metastatic disease. Patients were randomized (1:1) to receive either pembrolizumab for up to 2 years in combination with pemetrexed and platinum-based chemotherapy for up to 6 cycles (n=222) or pemetrexed and platinum-based chemotherapy for up to 6 cycles (n=218).
The main efficacy outcome measure was overall survival (OS). Additional efficacy outcome measures were progression-free survival (PFS), objective response rate (ORR), and duration of response (DoR), as assessed by blinded independent central review, according to modified RECIST 1.1 for mesothelioma. The trial demonstrated a statistically significant improvement in OS for patients treated with pembrolizumab with chemotherapy compared to those who received chemotherapy alone. Median OS was 17.3 months (95% CI: 14.4, 21.3) versus 16.1 months (95% CI: 13.1, 18.2) (hazard ratio [HR] 0.79 [95% CI: 0.64, 0.98]; p=0.0162). 
Median PFS was 7.1 months (95% CI: 6.9, 8.1) vs 7.1 months (95% CI: 6.8, 7.7) in pembrolizumab plus chemotherapy and the chemotherapy alone arm, respectively (HR 0.80 [95% CI: 0.65, 0.99]; p=0.0194). Confirmed ORR was 52% (95% CI: 45.5, 59.0) in the pembrolizumab plus chemotherapy arm and 29% (95% CI: 23.0, 35.4) in the chemotherapy alone arm. Median DoR was 6.9 months (95% CI: 5.8, 8.3) and 6.8 months (95% CI: 5.5, 8.5), respectively.
Adverse reactions occurring in patients with MPM were similar to those receiving pembrolizumab with pemetrexed and platinum chemotherapy. See the prescribing information for complete details.
The recommended pembrolizumab dose is 200 mg every 3 weeks or 400 mg every 6 weeks until disease progression or unacceptable toxicity for up to 2 years.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Health Canada. The application reviews are ongoing at the other regulatory agencies.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09/17/2024
Regulated Product(s)
Drugs</t>
  </si>
  <si>
    <t xml:space="preserve">ID_75</t>
  </si>
  <si>
    <t xml:space="preserve">FDA approves Kisqali with an aromatase inhibitor and Kisqali Femara Co-Pack for early high-risk breast cancer</t>
  </si>
  <si>
    <t xml:space="preserve">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</si>
  <si>
    <t xml:space="preserve">https://www.fda.gov/drugs/resources-information-approved-drugs/fda-approves-kisqali-aromatase-inhibitor-and-kisqali-femara-co-pack-early-high-risk-breast-cancer</t>
  </si>
  <si>
    <t xml:space="preserve">FDA approves Kisqali with an aromatase inhibitor and Kisqali Femara Co-Pack for early high-risk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
Full prescribing information for Kisqali and Kisqali Femara Co-Pack will be posted on Drugs@FDA.
Efficacy and Safety
Efficacy of ribociclib with a non-steroidal aromatase inhibitor (NSAI) was evaluated in NATALEE (NCT03701334), a randomized, open-label, multicenter trial in 5101 adults with HR-positive, HER2-negative early breast cancer. The trial included patients with any lymph node involvement (excluding microscopic nodal involvement), or if there was no nodal involvement, either tumor size &gt; 5 cm, or tumor size 2 to 5 cm with either Grade 2 (and high genomic risk or Ki67 ≥ 20%) or Grade 3.
Participants were randomized (1:1) to receive ribociclib (400 mg) + NSAI or NSAI alone; patients could receive goserelin as indicated. Randomization was stratified by anatomic stage, prior chemotherapy (neoadjuvant versus adjuvant), menopausal status (premenopausal and males versus postmenopausal) and region (North America/Western Europe/Oceania versus rest of the world).
The main efficacy outcome measure was invasive disease-free survival (iDFS). iDFS was defined as randomization to the first occurrence of the following: local or regional invasive breast recurrence, distant recurrence, death from any cause, contralateral invasive breast cancer, or secondary primary non-breast invasive cancer (excluding basal and squamous cell carcinomas of the skin).
A statistically significant improvement in iDFS was observed in the intent-to-treat patient population at an interim analysis. Efficacy results at the final iDFS analysis showed that iDFS at 36 months was 90.7% (95% CI: 89.3, 91.8) in the ribociclib + NSAI arm and 87.6% (95% CI: 86.1, 88.9) in the NSAI arm, with a hazard ratio of 0.749 (95% CI: 0.628, 0.892). At the time of the iDFS final analysis, OS was immature.
The adverse reactions observed on the NATALEE trial were consistent with the current safety profile for ribociclib in combination with an NSAI. The prescribing information provides additional safety information. 
In the adjuvant treatment setting, the recommended ribociclib dose is 400 mg (two 200 mg film-coated tablets) taken orally, once daily for 21 consecutive days followed by 7 days off in 28-day treatment cycles. Refer to the prescribing information for the recommended dosage of the aromatase inhibitor. 
Kisqali has newly updated storage conditions. Kisqali should now be refrigerated until dispensed to patients. After dispensing, healthcare providers should advise patients to store Kisqali at room temperature for up to 2 months.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09/17/2024
Regulated Product(s)
Drugs</t>
  </si>
  <si>
    <t xml:space="preserve">ID_77</t>
  </si>
  <si>
    <t xml:space="preserve">FDA approves lazertinib with amivantamab-vmjw for non-small lung cancer</t>
  </si>
  <si>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</si>
  <si>
    <t xml:space="preserve">https://www.fda.gov/drugs/resources-information-approved-drugs/fda-approves-lazertinib-amivantamab-vmjw-non-small-lung-cancer</t>
  </si>
  <si>
    <t xml:space="preserve">2024-08-19</t>
  </si>
  <si>
    <t xml:space="preserve">FDA approves lazertinib with amivantamab-vmjw for non-small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Full prescribing information for Lazcluze and Rybrevant will be posted on Drugs@FDA. 
Efficacy and Safety
Efficacy was evaluated in MARIPOSA (NCT04487080), a randomized, active-controlled, multicenter trial of 1074 patients with exon 19 deletion or exon 21 L858R substitution mutation-positive locally advanced or metastatic NSCLC and no prior systemic therapy for advanced disease. Patients were randomized (2:2:1) to receive lazertinib in combination with amivantamab, osimertinib monotherapy, or lazertinib monotherapy (an unapproved regimen for NSCLC) until disease progression or unacceptable toxicity.
The major efficacy outcome measure was progression-free survival (PFS) as assessed by blinded independent central review (BICR) for the comparison between lazertinib with amivantamab and osimertinib. Overall survival (OS) was a key secondary outcome measure. Lazertinib with amivantamab demonstrated a statistically significant improvement in PFS compared to osimertinib with a hazard ratio of 0.70 (95% confidence interval [CI]: 0.58, 0.85; p-value=0.0002). The median PFS was 23.7 months (95% CI: 19.1, 27.7) in the lazertinib with amivantamab arm and 16.6 months (95% CI: 14.8, 18.5) in the osimertinib arm.
While OS results were immature at the current analysis, with 55% of pre-specified deaths for the final analysis reported, no trend towards a detriment was observed.
The most common adverse reactions (≥20%) were rash, nail toxicity, infusion-related reactions (amivantamab), musculoskeletal pain, edema, stomatitis, venous thromboembolism, paresthesia, fatigue, diarrhea, constipation, COVID-19 infection, hemorrhage, dry skin, decreased appetite, pruritus, nausea, and ocular toxicity. A serious safety signal of venous thromboembolic events (VTE) was observed with lazertinib in combination with amivantamab and prophylactic anticoagulation should be administered for the first four months of therapy.
The recommended lazertinib dose is 240 mg orally once daily administered in combination with amivantamab with or without food. The recommended amivantamab dose is based on baseline body weight. See the prescribing information for specific dosing information.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08/20/2024
Regulated Product(s)
Drugs
Oncology</t>
  </si>
  <si>
    <t xml:space="preserve">ID_78</t>
  </si>
  <si>
    <t xml:space="preserve">FDA approves neoadjuvant/adjuvant durvalumab for resectable non-small cell lung cancer</t>
  </si>
  <si>
    <t xml:space="preserve">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</si>
  <si>
    <t xml:space="preserve">https://www.fda.gov/drugs/resources-information-approved-drugs/fda-approves-neoadjuvantadjuvant-durvalumab-resectable-non-small-cell-lung-cancer</t>
  </si>
  <si>
    <t xml:space="preserve">2024-08-15</t>
  </si>
  <si>
    <t xml:space="preserve">FDA approves neoadjuvant/adjuvant durvalumab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
Full prescribing information for Imfinzi will be posted on Drugs@FDA. 
Efficacy and Safety
Efficacy was evaluated in AEGEAN (NCT03800134), a randomized, double-blind, placebo-controlled multicenter trial in 802 patients with previously untreated and resectable squamous or non-squamous NSCLC (Stage IIA to select Stage IIIB [AJCC, 8th edition]). Patients were randomized (1:1) to either durvalumab or placebo, with platinum-based chemotherapy, every 3 weeks for up to 4 cycles (neoadjuvant treatment) followed by either continued single-agent durvalumab or placebo, every 4 weeks for up to 12 cycles (adjuvant treatment). 
The major efficacy outcome measures were event-free survival (EFS) by blinded independent central review assessment and pathological complete response (pCR) by blinded central pathology review. Median EFS was not reached (95% CI: 31.9, not estimable [NE]) in the durvalumab arm and 25.9 months (95% CI: 18.9, NE) in the placebo arm (hazard ratio 0.68 [95% CI: 0.53, 0.88]; p-value=0.0039). The pCR rate was 17% (95% CI: 13, 21) and 4.3% (95% CI: 2.5, 7) in the durvalumab and placebo arms, respectively. At the time of the prespecified interim analyses, overall survival (OS) was not formally tested for statistical significance; however, a descriptive analysis revealed no clear detriment.
The most common adverse reactions (≥20%) were anemia, nausea, constipation, fatigue, musculoskeletal pain, and rash. Of the patients who received neoadjuvant durvalumab, 1.7% were unable to receive surgery due to adverse reactions compared with 1% in the placebo arm. 
For patients with a body weight of ≥ 30 kg, the recommended durvalumab dosage is 1,500 mg every 3 weeks (neoadjuvant treatment) and every 4 weeks (adjuvant treatment). For patients with a body weight of &lt; 30 kg, the recommended durvalumab dosage is 20 mg/kg. Durvalumab should be administered prior to chemotherapy when administered on the same day.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08/15/2024
Regulated Product(s)
Drugs</t>
  </si>
  <si>
    <t xml:space="preserve">ID_82</t>
  </si>
  <si>
    <t xml:space="preserve">FDA expands endometrial cancer indication for dostarlimab-gxly with chemotherapy</t>
  </si>
  <si>
    <t xml:space="preserve">On August 1, 2024, the Food and Drug Administration approved dostarlimab-gxly (Jemperli, GSK) with carboplatin and paclitaxel, followed by single-agent dostarlimab-gxly, for adult patients with primary advanced or recurrent endometrial cancer (EC). </t>
  </si>
  <si>
    <t xml:space="preserve">https://www.fda.gov/drugs/resources-information-approved-drugs/fda-expands-endometrial-cancer-indication-dostarlimab-gxly-chemotherapy</t>
  </si>
  <si>
    <t xml:space="preserve">2024-08-01</t>
  </si>
  <si>
    <t xml:space="preserve">FDA expands endometrial cancer indication for dostarlimab-gxly with chemotherapy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 2024, the Food and Drug Administration approved dostarlimab-gxly (Jemperli, GSK) with carboplatin and paclitaxel, followed by single-agent dostarlimab-gxly, for adult patients with primary advanced or recurrent endometrial cancer (EC). Dostarlimab-gxly previously was approved with carboplatin and paclitaxel, followed by single-agent dostarlimab-gxly, for primary advanced or recurrent EC that is mismatch repair deficient (dMMR) or microsatellite instability-high (MSI-H).
Full prescribing information for Jemperli will be posted on Drugs@FDA.
Efficacy and Safety
Efficacy was evaluated in RUBY (NCT03981796), a randomized, multicenter, double-blind, placebo-controlled trial conducted in 494 patients with primary advanced or recurrent EC.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mismatch repair (MMR)/microsatellite instability (MSI) status, prior external pelvic radiotherapy, and disease status (recurrent, primary Stage III, or primary Stage IV).
The major efficacy outcome measures were progression-free survival (PFS) (investigator-assessed using RECIST v1.1) in the dMMR/MSI-H and overall populations, and overall survival (OS) in the overall population. In the overall population, a statistically significant OS improvement was observed with a median OS of 44.6 months (95% CI: 32.6, not reached) and 28.2 months (95% CI: 22.1, 35.6) in the dostarlimab-gxly and placebo arms, respectively (Hazard Ratio=0.69 [95% CI: 0.54, 0.89]; 1-sided p-value=0.002). Median PFS in the overall population was 11.8 months (95% CI: 9.6, 17.1) and 7.9 months (95% CI: 7.6, 9.5) in the dostarlimab-gxly and placebo arms, respectively (Hazard Ratio=0.64 [95% CI: 0.51, 0.80]; 1-sided p-value &lt;0.0001).
The most common adverse reactions (≥20%) with dostarlimab-gxly with carboplatin and paclitaxel were anemia, increased creatinine, peripheral neuropathy, decreased white blood cell count, fatigue, nausea, alopecia, low platelets, increased glucose, lymphopenia, neutropenia, liver function test abnormalities, arthralgia, rash, constipation, diarrhea, decreased albumin, abdominal pain, dyspnea, decreased appetite, increased amylase, urinary tract infection and vomiting. Immune-mediated adverse reactions with dostarlimab-gxly were similar to those previously reported for dostarlimab-gxly. See dostarlimab-gxly full prescribing information for complete adverse reactions.
The recommended dostarlimab-gxly dose is 500 mg every 3 weeks for 6 cycles with carboplatin and paclitaxel, followed by 1,000 mg monotherapy every 6 weeks until disease progression or unacceptable toxicity, or up to 3 years. Dostarlimab-gxly should be administered before chemotherapy when administered on the same day.
Expedited Programs
This review used the Assessment Aid, a voluntary submission from the applicant to facilitate the FDA’s assessment. The FDA approved this application 3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08/01/2024</t>
  </si>
  <si>
    <t xml:space="preserve">ID_83</t>
  </si>
  <si>
    <t xml:space="preserve">FDA approves daratumumab and hyaluronidase-fihj with bortezomib, lenalidomide, and dexamethasone for multiple myeloma</t>
  </si>
  <si>
    <t xml:space="preserve">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</si>
  <si>
    <t xml:space="preserve">https://www.fda.gov/drugs/resources-information-approved-drugs/fda-approves-daratumumab-and-hyaluronidase-fihj-bortezomib-lenalidomide-and-dexamethasone-multiple</t>
  </si>
  <si>
    <t xml:space="preserve">2024-07-30</t>
  </si>
  <si>
    <t xml:space="preserve">FDA approves daratumumab and hyaluronidase-fihj with bortezomib, lenalidomide,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
Full prescribing information for Darzalex Faspro will be posted on Drugs@FDA.
Efficacy and Safety
Efficacy was evaluated in PERSEUS (NCT03710603), an open-label, randomized, active-controlled trial in patients with newly diagnosed multiple myeloma eligible for ASCT. Enrollment was limited to patients 70 years of age and younger. A total of 709 patients were randomized: 355 to the Darzalex Faspro with bortezomib, lenalidomide, and dexamethasone (Darzalex Faspro-VRd) arm and 354 to the bortezomib, lenalidomide, and dexamethasone (VRd) arm.
The major efficacy outcome measure was progression-free survival (PFS) as assessed by an independent review committee based on International Myeloma Working Group (IMWG) response criteria. PERSEUS demonstrated an improvement in PFS in the Darzalex Faspro-VRd arm as compared to the VRd arm; the median PFS had not been reached in either arm. Treatment with Darzalex Faspro-VRd resulted in a reduction in the risk of disease progression or death by 60% compared to VRd alone (HR [95% CI]: 0.40 [0.29, 0.57]; p-value &lt; 0.0001).
The most common adverse reactions (≥20%) were peripheral neuropathy, fatigue, edema, pyrexia, upper respiratory infection, constipation, diarrhea, musculoskeletal pain, insomnia, and rash.
The recommended Darzalex Faspro dose is 1,800 mg/30,000 units (1,800 mg daratumumab and 30,000 units hyaluronidase). See the prescribing information for the dosage recommendations for the other drugs.
Expedited Programs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07/30/2024</t>
  </si>
  <si>
    <t xml:space="preserve">ID_85</t>
  </si>
  <si>
    <t xml:space="preserve">FDA grants accelerated approval to adagrasib with cetuximab for KRAS G12C-mutated colorectal cancer</t>
  </si>
  <si>
    <t xml:space="preserve">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</si>
  <si>
    <t xml:space="preserve">https://www.fda.gov/drugs/resources-information-approved-drugs/fda-grants-accelerated-approval-adagrasib-cetuximab-kras-g12c-mutated-colorectal-cancer</t>
  </si>
  <si>
    <t xml:space="preserve">2024-06-21</t>
  </si>
  <si>
    <t xml:space="preserve">FDA grants accelerated approval to adagrasib with cetuximab for KRAS G12C-mutated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
Full prescribing information for Krazati will be posted on Drugs@FDA. 
Efficacy and Safety
Efficacy was evaluated in KRYSTAL-1, a multicenter, single-arm expansion cohort trial. Eligible patients were required to have locally advanced or metastatic KRAS G12C-mutated CRC previously treated with fluoropyrimidine-, oxaliplatin-, and irinotecan-based chemotherapy, and a VEGF inhibitor, if eligible. Patients were treated with adagrasib 600 mg twice daily plus cetuximab administered either biweekly (500 mg/m2 every two weeks) or weekly (400 mg/m2 initial dose followed by 250 mg/m2 weekly). Tumor assessments were performed every 6 weeks. Adagrasib discontinuation required cetuximab discontinuation, however patients could continue adagrasib if cetuximab was discontinued.
The major efficacy outcome measures were confirmed overall response rate (ORR) and duration of response (DOR) according to RECIST v1.1 assessed by blinded independent central review. In the 94 enrolled patients, ORR was 34% (95% CI: 25%, 45%), all responses were partial responses, and median DOR was 5.8 months (95% CI: 4.2, 7.6). Thirty-one percent of responding patients had a DOR of at least 6 months.
The most common adverse reactions (≥20%) were rash, nausea, diarrhea, vomiting, fatigue, musculoskeletal pain, hepatotoxicity, headache, dry skin, abdominal pain, decreased appetite, edema, anemia, cough, dizziness, constipation, and peripheral neuropathy.
The recommended adagrasib dose is 600 mg orally twice daily until disease progression or unacceptable toxicity. Refer to the cetuximab prescribing information for cetuximab dosage information.
Expedited Programs
This application was granted priority review and breakthrough therapy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06/21/2024
Regulated Product(s)
Drugs</t>
  </si>
  <si>
    <t xml:space="preserve">ID_86</t>
  </si>
  <si>
    <t xml:space="preserve">FDA approves pembrolizumab with chemotherapy for primary advanced or recurrent endometrial carcinoma</t>
  </si>
  <si>
    <t xml:space="preserve">On June 17, 2024, the Food and Drug Administration approved pembrolizumab (Keytruda, Merck) with carboplatin and paclitaxel, followed by single-agent pembrolizumab, for adult patients with primary advanced or recurrent endometrial carcinoma.</t>
  </si>
  <si>
    <t xml:space="preserve">https://www.fda.gov/drugs/resources-information-approved-drugs/fda-approves-pembrolizumab-chemotherapy-primary-advanced-or-recurrent-endometrial-carcinoma</t>
  </si>
  <si>
    <t xml:space="preserve">2024-06-17</t>
  </si>
  <si>
    <t xml:space="preserve">FDA approves pembrolizumab with chemotherapy for primary advanced or recurrent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17, 2024, the Food and Drug Administration approved pembrolizumab (Keytruda, Merck) with carboplatin and paclitaxel, followed by single-agent pembrolizumab, for adult patients with primary advanced or recurrent endometrial carcinoma.
Full prescribing information for Keytruda will be posted on Drugs@FDA.
Efficacy was evaluated in KEYNOTE-868/NRG-GY018 (NCT03914612), a multicenter, randomized, double-blind, placebo-controlled trial enrolling 810 patients with advanced or recurrent endometrial carcinoma. The trial included two separate cohorts based on mismatch repair (MMR) status: 222 patients in the mismatch repair deficient (dMMR) cohort, and 588 patients in the mismatch repair (pMMR) proficient cohort. Patients were randomized (1:1) to one of the following treatment arms:
pembrolizumab 200 mg every 3 weeks, paclitaxel 175 mg/m2 and carboplatin AUC 5 mg/mL/min for 6 cycles, followed by pembrolizumab 400 mg every 6 weeks for up to 14 cycles.
placebo every 3 weeks, paclitaxel 175 mg/m2 and carboplatin AUC 5 mg/mL/min for 6 cycles, followed by placebo every 6 weeks for up to 14 cycles.
Randomization was stratified according to MMR status, ECOG performance status (0 or 1 vs. 2), and prior adjuvant chemotherapy.
The major efficacy outcome measure was progression-free survival (PFS), assessed by the investigator according to RECIST 1.1. In the dMMR cohort, median PFS was not reached (NR) (95% CI: 30.7, NR) in the pembrolizumab and chemotherapy arm and 6.5 months (95% CI: 6.4, 8.7) in the placebo and chemotherapy arm (Hazard ratio [HR] 0.30 [95% CI: 0.19, 0.48]; p-value &lt;0.0001). In the pMMR cohort, median PFS was 11.1 months (95% CI: 8.7, 13.5) in the pembrolizumab and chemotherapy arm and 8.5 months (95% CI: 7.2, 8.8) for those receiving placebo and chemotherapy arm (HR 0.60 [95% CI: 0.46, 0.78; p-value &lt;0.0001).
Adverse reactions associated with pembrolizumab and chemotherapy were generally similar to those previously reported for pembrolizumab or chemotherapy with the exception of a higher incidence of rash. See the prescribing information for complete adverse reactions.
The recommended pembrolizumab dose is 200 mg every 3 weeks or 400 mg every 6 weeks until disease progression, unacceptable toxicity, or up to 24 months.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(HC), and Israel’s Ministry of Health (IMoH).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Content current as of:
06/17/2024</t>
  </si>
  <si>
    <t xml:space="preserve">ID_87</t>
  </si>
  <si>
    <t xml:space="preserve">FDA approves blinatumomab as consolidation for CD19-positive Philadelphia chromosome-negative B-cell precursor acute lymphoblastic leukemia</t>
  </si>
  <si>
    <t xml:space="preserve">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</si>
  <si>
    <t xml:space="preserve">https://www.fda.gov/drugs/resources-information-approved-drugs/fda-approves-blinatumomab-consolidation-cd19-positive-philadelphia-chromosome-negative-b-cell</t>
  </si>
  <si>
    <t xml:space="preserve">2024-06-14</t>
  </si>
  <si>
    <t xml:space="preserve">single</t>
  </si>
  <si>
    <t xml:space="preserve">yes</t>
  </si>
  <si>
    <t xml:space="preserve">FDA approves blinatumomab as consolidation for CD19-positive Philadelphia chromosome-negative B-cell precursor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
Full prescribing information for Blincyto will be posted on Drugs@FDA.
Efficacy and Safety
Efficacy was evaluated in Study E1910 (NCT02003222), a randomized, controlled trial in adult patients with newly diagnosed Ph-negative BCP ALL. Eligible patients in hematologic complete remission (CR) or CR with incomplete peripheral blood count recovery (CRi) following induction and intensification chemotherapy were randomized 1:1 to receive a consolidation regimen comprised of multiple blinatumomab monotherapy cycles plus multiple cycles of intensive chemotherapy (blinatumomab arm) or to intensive chemotherapy alone (chemotherapy arm). Randomization was stratified by age, CD20 status, rituximab use, and intent to undergo allogeneic hematopoietic stem cell transplantation (HSCT). There were 112 patients randomized to the blinatumomab arm and 112 to the chemotherapy arm.
The major efficacy outcome measure was overall survival (OS). The 3-year OS was 84.8% (95% CI: 76.3, 90.4) and 69% (95% CI: 58.7, 77.2) in the blinatumomab and chemotherapy arms, respectively. The hazard ratio [HR] for OS was 0.42 [95% CI: 0.24, 0.75] p-value 0.003). In a later analysis with a median follow-up of 4.5 years, the 5-year OS was 82.4 % [95% CI (73.7, 88.4)] in the blinatumomab arm and 62.5 % [95% CI (52.0, 71.3)] in the chemotherapy arm. The hazard ratio was 0.44 [95% CI (0.25, 0.76)].
Efficacy also was evaluated in Study 20120215 (NCT02393859), a randomized, controlled, open-label, multicenter trial. Pediatric and young adult patients with Ph-negative BCP ALL were randomized 1:1 to receive blinatumomab or the IntReALLHR2010 HC3 intensive combination chemotherapy as the third consolidation cycle. Randomization was stratified by age, minimal residual disease status at the end of induction based on local assessment, and bone marrow status at the end of the second block of consolidation chemotherapy. There were 54 patients randomized to the blinatumomab arm and 57 to the chemotherapy arm.
The major efficacy outcome measures were OS and relapse-free survival (RFS). The 5‑year OS was 78.4% (95% CI: 64.2, 87.4) and 41.4% (95% CI: 26.3, 55.9) in the blinatumomab and chemotherapy arms, respectively (OS HR 0.35 [95% CI: 0.17, 0.70]). The 5-year RFS was 61.1% (95% CI: 46.3, 72.9) and 27.6% (95% CI: 16.2, 40.3) in the blinatumomab and chemotherapy arms, respectively (RFS HR 0.38 [95% CI: 0.22, 0.66].
In Study E1910, the most common adverse reactions (≥20%) in the blinatumomab arm were neutropenia, thrombocytopenia, anemia, leukopenia, headache, infection, nausea, lymphopenia, diarrhea, musculoskeletal pain, and tremor. In Study 20120215, the most common adverse reactions (≥20%) in the blinatumomab arm were pyrexia, nausea, headache, rash, hypogammaglobulinemia, and anemia.
See the full prescribing information for the recommended dose by patient weight and schedule.
Expedited Programs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Health Canada (HC), Switzerland’s Swissmedic (SMC), and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63a4541b-712c-49e2-9099-24d3d158904e
Content current as of:
06/14/2024</t>
  </si>
  <si>
    <t xml:space="preserve">ID_88</t>
  </si>
  <si>
    <t xml:space="preserve">FDA approves durvalumab with chemotherapy for mismatch repair deficient primary advanced or recurrent endometrial cancer</t>
  </si>
  <si>
    <t xml:space="preserve">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</si>
  <si>
    <t xml:space="preserve">https://www.fda.gov/drugs/resources-information-approved-drugs/fda-approves-durvalumab-chemotherapy-mismatch-repair-deficient-primary-advanced-or-recurrent</t>
  </si>
  <si>
    <t xml:space="preserve">FDA approves durvalumab with chemotherapy for mismatch repair deficient primary advanced or recurrent endometrial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14, 2024, the Food and Drug Administration approved durvalumab (Imfinzi, AstraZeneca UK Limited) with carboplatin plus paclitaxel followed by single-agent durvalumab for adult patients with primary advanced or recurrent endometrial cancer that is mismatch repair deficient (dMMR).
Full prescribing information for Imfinzi will be posted on Drugs@ FDA.
Efficacy and Safety
Efficacy was evaluated in DUO-E (NCT04269200), a randomized, multicenter, double-blind, placebo-controlled trial in patients with primary advanced or recurrent endometrial cancer. Tumor MMR status was a stratification factor and was assessed using an immunohistochemistry tumor tissue test. Patients were randomized (1:1:1) to one of the following treatment arms:
Durvalumab 1,120 mg with carboplatin plus paclitaxel every 3 weeks for a maximum of 6 Following completion of chemotherapy, patients received durvalumab 1,500 mg every 4 weeks as maintenance until disease progression.
Placebo with carboplatin and paclitaxel every 3 weeks for a maximum of 6 cycles. Following completion of chemotherapy, patients received placebo every 4 weeks until disease progression.
An additional investigational combination regimen.
The major efficacy outcome measure was progression-free survival (PFS), determined by investigator assessment using RECIST v1.1.
While a statistically significant improvement in PFS was observed in the overall population for durvalumab with carboplatin plus paclitaxel compared to carboplatin and paclitaxel alone, the improvement in the overall population was primarily attributed to patients with dMMR tumors based on an exploratory analysis by tumor MMR status.
In 95 patients with dMMR tumors, median PFS was not reached (NR) (95% CI: NR, NR) in the durvalumab arm and was 7 months (95% CI: 6.7, 14.8) in the placebo arm (hazard ratio: 0.42 [95% CI: 0.22, 0.80]). Overall survival, an additional efficacy outcome measure, was immature at the PFS analysis.
The most common adverse reactions (&gt;25%) with durvalumab in combination with carboplatin and paclitaxel were peripheral neuropathy, musculoskeletal pain, nausea, alopecia, fatigue, abdominal pain, constipation, rash, diarrhea, vomiting, and cough. The prescribing information provides the complete adverse reactions.
The recommended durvalumab dose for patients with a body weight ≥ 30 kg is 1,120 mg with carboplatin plus paclitaxel every 3 weeks for 6 cycles, followed by single- agent durvalumab 1,500 mg every 4 weeks. The recommended durvalumab dose for patients with a body weight of &lt; 30 kg is 15 mg/kg with carboplatin and paclitaxel every 3 weeks for 6 cycles, followed by durvalumab 20 mg/kg every 4 weeks.
Expedited Programs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@FDAOncology
notionvc: 490b1da7-3829-4ffa-a323-f266d904143f
Content current as of:
06/14/2024</t>
  </si>
  <si>
    <t xml:space="preserve">ID_99</t>
  </si>
  <si>
    <t xml:space="preserve">FDA approves nogapendekin alfa inbakicept-pmln for BCG-unresponsive non-muscle invasive bladder cancer</t>
  </si>
  <si>
    <t xml:space="preserve">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</si>
  <si>
    <t xml:space="preserve">https://www.fda.gov/drugs/resources-information-approved-drugs/fda-approves-nogapendekin-alfa-inbakicept-pmln-bcg-unresponsive-non-muscle-invasive-bladder-cancer</t>
  </si>
  <si>
    <t xml:space="preserve">2024-04-22</t>
  </si>
  <si>
    <t xml:space="preserve">FDA approves nogapendekin alfa inbakicept-pmln for BCG-unresponsive non-muscle invasive bladder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
Full prescribing information for Anktiva will be posted here.
Efficacy and Safety
Efficacy was evaluated in QUILT-3.032 (NCT0302285), a single-arm, multicenter trial of 77 patients with BCG-unresponsive, high-risk NMIBC with CIS with or without Ta/T1 papillary disease following transurethral resection. Patients received nogapendekin alfa inbakicept-pmln induction via intravesical instillation with BCG followed by maintenance therapy for up to 37 months.
Tumor status was assessed with cystoscopy and urine cytology every 3 months for up to 2 years and biopsy (random or cystoscopy-directed) was required within the first 6 months after treatment initiation. Subsequent assessment was performed per local community standards. 
The major efficacy outcome measures were CR at any time and duration of complete response (DOR). CR was defined by a negative cystoscopy (with TURBT/biopsies as applicable) and urine cytology. 
The CR rate was 62% (95% CI: 51, 73). Fifty-eight percent of patients with CR had a DOR ≥ 12 months and 40% had a DOR ≥ 24 months.
The most common adverse reactions (≥15%), including laboratory test abnormalities, were increased creatinine, dysuria, hematuria, urinary frequency, micturition urgency, urinary tract infection, increased potassium, musculoskeletal pain, chills, and pyrexia.
The recommended nogapendekin alfa inbakicept-pmln dose is 400 mcg administered intravesically with BCG once a week for 6 weeks as induction therapy. A second induction course may be administered if CR is not achieved at month 3. For maintenance after induction therapy, the recommended dose is 400 mcg administered intravesically with BCG once a week for 3 weeks at months 4, 7, 10, 13, and 19 (for a total of 15 doses). For patients with an ongoing CR at month 25 or later, maintenance instillations with BCG may be administered once a week for 3 weeks at months 25, 31, and 37 for a maximum of 9 additional instillations. Treatment should be discontinued for disease persistence after second induction, disease recurrence or progression, or unacceptable toxicity. The maximum treatment duration is 37 months.
Expedited Programs
This review used the Assessment Aid, a voluntary submission from the applicant to facilitate the FDA’s assessment.
This application was granted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04/22/2024
Regulated Product(s)
Drugs</t>
  </si>
  <si>
    <t xml:space="preserve">ID_104</t>
  </si>
  <si>
    <t xml:space="preserve">FDA grants accelerated approval to ponatinib with chemotherapy for newly diagnosed Philadelphia chromosome-positive acute lymphoblastic leukemia</t>
  </si>
  <si>
    <t xml:space="preserve">On March 19, 2024, the Food and Drug Administration granted accelerated approval to ponatinib (Iclusig, Takeda Pharmaceuticals U.S.A., Inc.) with chemotherapy for adult patients with newly diagnosed Philadelphia chromosome-positive acute lymphoblastic leukemia (Ph+ ALL).</t>
  </si>
  <si>
    <t xml:space="preserve">https://www.fda.gov/drugs/resources-information-approved-drugs/fda-grants-accelerated-approval-ponatinib-chemotherapy-newly-diagnosed-philadelphia-chromosome</t>
  </si>
  <si>
    <t xml:space="preserve">2024-03-19</t>
  </si>
  <si>
    <t xml:space="preserve">no</t>
  </si>
  <si>
    <t xml:space="preserve">FDA grants accelerated approval to ponatinib with chemotherapy for newly diagnosed Philadelphia chromosome-positive acute lymphoblastic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19, 2024, the Food and Drug Administration granted accelerated approval to ponatinib (Iclusig, Takeda Pharmaceuticals U.S.A., Inc.) with chemotherapy for adult patients with newly diagnosed Philadelphia chromosome-positive acute lymphoblastic leukemia (Ph+ ALL).
Full prescribing information for Iclusig will be posted here.
Efficacy was evaluated in PhALLCON (NCT03589326), a randomized, active-controlled, multicenter, open-label trial of 245 adult patients with newly diagnosed Ph+ ALL. Patients were randomized (2:1) to receive either ponatinib 30 mg orally once daily or imatinib 600 mg orally once daily with chemotherapy (imatinib with chemotherapy is an unapproved regimen). Chemotherapy consisted of 3 cycles of induction with vincristine and dexamethasone, 6 cycles of consolidation alternating between methotrexate and cytarabine, and 11 cycles of maintenance with vincristine and prednisone. The ponatinib dose was reduced to 15 mg once daily after completion of the induction phase and achievement of minimal residual disease (MRD)-negative complete remission (CR).
Efficacy was based on the MRD-negative CR rate at the end of induction. The MRD-negative CR rate at the end of induction was 30% in the ponatinib arm and 12% in the imatinib arm (Risk difference 0.18 [95% CI: 0.08, 0.28], p-value 0.0004).
The most common adverse reactions were hepatic dysfunction, arthralgia, rash and related conditions, headache, pyrexia, abdominal pain, constipation, fatigue, nausea, oral mucositis, hypertension, pancreatitis/elevated lipase, peripheral neuropathy, hemorrhage, febrile neutropenia, fluid retention and edema, vomiting, paresthesia, and cardiac arrhythmias.
The recommended ponatinib dose is 30 mg orally once daily with a reduction to 15 mg orally once daily upon achievement of MRD-negative CR at the end of induction. Continue ponatinib with chemotherapy for up to 20 cycles until loss of response or unacceptable toxicity. For a description of dosing agents administered with ponatinib, see the prescribing information.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03/19/2024
Regulated Product(s)
Drugs</t>
  </si>
  <si>
    <t xml:space="preserve">ID_105</t>
  </si>
  <si>
    <t xml:space="preserve">FDA grants accelerated approval to zanubrutinib for relapsed or refractory follicular lymphoma</t>
  </si>
  <si>
    <t xml:space="preserve">On March 7, 2024, the Food and Drug Administration granted accelerated approval to zanubrutinib (Brukinsa, BeiGene USA, Inc.) with obinutuzumab for relapsed or refractory follicular lymphoma (FL) after two or more lines of systemic therapy.</t>
  </si>
  <si>
    <t xml:space="preserve">https://www.fda.gov/drugs/resources-information-approved-drugs/fda-grants-accelerated-approval-zanubrutinib-relapsed-or-refractory-follicular-lymphoma</t>
  </si>
  <si>
    <t xml:space="preserve">2024-03-07</t>
  </si>
  <si>
    <t xml:space="preserve">FDA grants accelerated approval to zanubrutinib for relapsed or refractory follicular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7, 2024, the Food and Drug Administration granted accelerated approval to zanubrutinib (Brukinsa, BeiGene USA, Inc.) with obinutuzumab for relapsed or refractory follicular lymphoma (FL) after two or more lines of systemic therapy.
Full prescribing information for Brukinsa will be posted here.
The regimen was evaluated in Study BGB-3111-212 (ROSEWOOD; NCT03332017), an open-label, multicenter, randomized trial that enrolled 217 adult patients with relapsed or refractory FL after at least 2 prior systemic treatments. Patients were randomized (2:1) to receive either zanubrutinib 160 mg orally twice daily until disease progression or unacceptable toxicity plus obinutuzumab (ZO), or obinutuzumab alone. The median number of prior lines of therapy was 3 (range 2-11).
Efficacy was based on overall response rate (ORR) and duration of response (DOR) determined by an independent review committee. ORR was 69% (95% CI: 61, 76) in the ZO arm and 46% (95% CI: 34, 58) in the obinutuzumab arm (two-sided p-value, 0.0012). With a median follow-up of 19.0 months, the median DOR was not reached in the ZO arm (95% CI: 25.3 months, NE) and was 14.0 months (95% CI: 9.2, 25.1) for those patients receiving obinutuzumab monotherapy. The estimated DOR rate at 18 months was 69% (95% CI: 58, 78) in the ZO arm.
Across clinical trials of zanubrutinib, the most common adverse reactions (≥30%), including laboratory abnormalities, were decreased neutrophil counts (51%) and platelet counts (41%), upper respiratory tract infection (38%), hemorrhage (32%), and musculoskeletal pain (31%). Serious adverse reactions occurred in 35% of patients with FL who received ZO.
The recommended zanubrutinib dosage is 160 mg taken orally twice daily or 320 mg taken orally once daily until disease progression or unacceptable toxicity.
This review used the Assessment Aid, a voluntary submission from the applicant to facilitate the FDA’s assessment.
This application was granted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</si>
  <si>
    <t xml:space="preserve">ID_106</t>
  </si>
  <si>
    <t xml:space="preserve">FDA approves nivolumab in combination with cisplatin and gemcitabine for unresectable or metastatic urothelial carcinoma</t>
  </si>
  <si>
    <t xml:space="preserve">On March 6, 2024, the Food and Drug Administration approved nivolumab (Opdivo, Bristol-Myers Squibb Company) in combination with cisplatin and gemcitabine for first-line treatment of adult patients with unresectable or metastatic urothelial carcinoma (UC).</t>
  </si>
  <si>
    <t xml:space="preserve">https://www.fda.gov/drugs/resources-information-approved-drugs/fda-approves-nivolumab-combination-cisplatin-and-gemcitabine-unresectable-or-metastatic-urothelial</t>
  </si>
  <si>
    <t xml:space="preserve">FDA approves nivolumab in combination with cisplatin and gemcitabine for unresectable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6, 2024, the Food and Drug Administration approved nivolumab (Opdivo, Bristol-Myers Squibb Company) in combination with cisplatin and gemcitabine for first-line treatment of adult patients with unresectable or metastatic urothelial carcinoma (UC).
Full prescribing information for Opdivo will be posted here.
Efficacy was evaluated in CHECKMATE-901 (NCT03036098), a randomized, open-label trial enrolling 608 patients with previously untreated unresectable or metastatic UC. Patients were randomized (1:1) to receive either nivolumab in combination with cisplatin and gemcitabine (up to 6 cycles) followed by nivolumab alone for up to two years or cisplatin and gemcitabine (up to 6 cycles). On both arms, patients discontinuing cisplatin were permitted to receive carboplatin. Randomization was stratified by tumor PD-L1 expression and presence of liver metastasis.
The major efficacy outcome measures were overall survival (OS) and progression-free survival (PFS), assessed by blinded independent central review using RECIST v1.1.
Statistically significant benefits in both OS and PFS were demonstrated for nivolumab in combination with cisplatin and gemcitabine followed by nivolumab compared to cisplatin and gemcitabine alone. Median OS was 21.7 months (95% CI: 18.6, 26.4) for patients who received nivolumab in combination with cisplatin and gemcitabine and 18.9 months (95% CI: 14.7, 22.4) for those who received cisplatin and gemcitabine alone, (hazard ratio [HR] 0.78 [95% CI: 0.63, 0.96]; two-sided p-value 0.0171). Median PFS was 7.9 months (95% CI: 7.6, 9.5) and 7.6 months (95% CI: 6.0, 7.8), respectively (HR 0.72 [95% CI: 0.59, 0.88]; two-sided p-value 0.0012).
The most common adverse reactions (≥15%) in patients receiving nivolumab with platinum-doublet chemotherapy were nausea, fatigue, musculoskeletal pain, constipation, decreased appetite, rash, vomiting, peripheral neuropathy, urinary tract infection, diarrhea, edema, hypothyroidism, and pruritis.
The recommended nivolumab dose for this indication is:
360 mg every 3 weeks in combination with cisplatin and gemcitabine every 3 weeks for up to 6 cycles followed by
240 mg every 2 weeks or 480 mg every 4 weeks as a single agent until disease progression, unacceptable toxicity, or a maximum treatment of 2 years from first dose.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03/07/2024
Regulated Product(s)
Drugs</t>
  </si>
  <si>
    <t xml:space="preserve">ID_108</t>
  </si>
  <si>
    <t xml:space="preserve">FDA approves amivantamab-vmjw for EGFR exon 20 insertion-mutated non-small cell lung cancer indications</t>
  </si>
  <si>
    <t xml:space="preserve">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</si>
  <si>
    <t xml:space="preserve">https://www.fda.gov/drugs/resources-information-approved-drugs/fda-approves-amivantamab-vmjw-egfr-exon-20-insertion-mutated-non-small-cell-lung-cancer-indications</t>
  </si>
  <si>
    <t xml:space="preserve">2024-03-01</t>
  </si>
  <si>
    <t xml:space="preserve">FDA approves amivantamab-vmjw for EGFR exon 20 insertion-mutated non-small cell lung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
The FDA also granted traditional approval to amivantamab-vmjw for adult patients with locally advanced or metastatic NSCLC with EGFR exon 20 insertion mutations, as detected by an FDA-approved test, whose disease has progressed on or after platinum-based chemotherapy. FDA previously granted accelerated approval for this indication.
Full prescribing information for Rybrevant will be posted here.
Efficacy was evaluated in PAPILLON (NCT04538664), a randomized, open-label multicenter trial of 308 patients with EGFR exon 20 insertion mutations. Patients were randomized 1:1 to receive amivantamab-vmjw with carboplatin and pemetrexed or carboplatin and pemetrexed.
The major efficacy outcome measure was progression-free survival (PFS) as assessed by blinded independent central review (BICR), with overall survival (OS) as a key secondary outcome measure. Amivantamab-vmjw plus carboplatin and pemetrexed demonstrated a statistically significant improvement in PFS compared with carboplatin and pemetrexed with a hazard ratio of 0.40 (95% CI: 0.30, 0.53; p-value&lt;0.0001). The median PFS was 11.4 months (95% CI: 9.8, 13.7) and 6.7 months (95% CI: 5.6, 7.3) in the respective arms.
While OS results were immature at the current analysis, with 44% of pre-specified deaths for the final analysis reported, no trend towards a detriment was observed.
The most common adverse reactions (≥20%) were rash, nail toxicity, stomatitis, infusion-related reaction, fatigue, edema, constipation, decreased appetite, nausea, COVID-19, diarrhea, and vomiting.
The recommended amivantamab-vmjw dose is based on body weight. See the prescribing information for specific dosage information.
This review was conducted under Project Orbis, an initiative of the FDA Oncology Center of Excellence. Project Orbis provides a framework for concurrent submission and review of oncology drugs among international partners. For this review, FDA collaborated with the Brazilian Health Regulatory Agency (ANVISA) and Health Canada.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four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03/01/2024
Regulated Product(s)
Drugs</t>
  </si>
  <si>
    <t xml:space="preserve">ID_109</t>
  </si>
  <si>
    <t xml:space="preserve">FDA approves osimertinib with chemotherapy for EGFR-mutated non-small cell lung cancer</t>
  </si>
  <si>
    <t xml:space="preserve">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</si>
  <si>
    <t xml:space="preserve">https://www.fda.gov/drugs/resources-information-approved-drugs/fda-approves-osimertinib-chemotherapy-egfr-mutated-non-small-cell-lung-cancer</t>
  </si>
  <si>
    <t xml:space="preserve">2024-02-16</t>
  </si>
  <si>
    <t xml:space="preserve">FDA approves osimertinib with chemotherapy for EGFR-mutated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
Full prescribing information for Tagrisso will be posted here.
Efficacy was evaluated in FLAURA 2 (NCT04035486), an open-label, randomized trial of 557 patients with EGFR exon 19 deletion or exon 21 L858R mutation-positive la/mNSCLC and no prior systemic therapy for advanced disease. Patients were randomized 1:1 to receive either osimertinib with platinum-based chemotherapy or osimertinib monotherapy.
The major efficacy outcome measure was progression free survival (PFS), as assessed by investigator, with overall survival (OS) as a key secondary outcome measure. Osimertinib plus platinum-based chemotherapy demonstrated a statistically significant improvement in PFS compared to osimertinib monotherapy with a hazard ratio of 0.62 (95% Confidence Interval [CI]: 0.49, 0.79; two-sided p-value&lt;0.0001). The median PFS was 25.5 months (95% CI: 24.7, not estimable [NE]) and 16.7 months (95% CI: 14.1, 21.3) in the respective arms.
While OS results were immature at the current analysis, with 45% of pre-specified deaths for the final analysis reported, no trend towards a detriment was observed.
The most common adverse reactions (≥ 20% incidence) in patients receiving osimertinib plus platinum-based chemotherapy were leukopenia, thrombocytopenia, neutropenia, lymphopenia, rash, diarrhea, stomatitis, nail toxicity, dry skin, and increased blood creatinine.
The recommended osimertinib dose is 80 mg orally once daily, with or without food, until disease progression or unacceptable toxicity. Refer to the prescribing information for pemetrexed and cisplatin or carboplatin for the respective dosing information.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priority review, fast track designation, breakthrough therapy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02/20/2024
Regulated Product(s)
Drugs</t>
  </si>
  <si>
    <t xml:space="preserve">ID_112</t>
  </si>
  <si>
    <t xml:space="preserve">FDA approves irinotecan liposome for first-line treatment of metastatic pancreatic adenocarcinoma</t>
  </si>
  <si>
    <t xml:space="preserve">On February 13, 2024, the Food and Drug Administration approved irinotecan liposome (Onivyde, Ipsen Biopharmaceuticals, Inc.) with oxaliplatin, fluorouracil, and leucovorin, for the first-line treatment of metastatic pancreatic adenocarcinoma.</t>
  </si>
  <si>
    <t xml:space="preserve">https://www.fda.gov/drugs/resources-information-approved-drugs/fda-approves-irinotecan-liposome-first-line-treatment-metastatic-pancreatic-adenocarcinoma</t>
  </si>
  <si>
    <t xml:space="preserve">2024-02-13</t>
  </si>
  <si>
    <t xml:space="preserve">FDA approves irinotecan liposome for first-line treatment of metastatic pancreatic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13, 2024, the Food and Drug Administration approved irinotecan liposome (Onivyde, Ipsen Biopharmaceuticals, Inc.) with oxaliplatin, fluorouracil, and leucovorin, for the first-line treatment of metastatic pancreatic adenocarcinoma.
View full prescribing information for Onivyde.
Efficacy was evaluated in NAPOLI 3 (NCT04083235), a randomized, multicenter, open-label, active-controlled trial in 770 patients with metastatic pancreatic adenocarcinoma who had not previously received chemotherapy in the metastatic setting. Randomization was stratified by region, liver metastases, and ECOG performance status. Patients were randomized (1:1) to receive one of the following treatments:
NALIRIFOX: irinotecan liposome 50 mg/m2 as an intravenous infusion over 90 minutes, followed by oxaliplatin 60 mg/m2 as an intravenous infusion over 120 minutes, followed by leucovorin 400 mg/m2 intravenously over 30 minutes, followed by fluorouracil 2400 mg/m2 intravenously over 46 hours, every 2 weeks.
Gem+NabP: Nab-paclitaxel 125 mg/m2 as an intravenous infusion over 35 minutes, followed by gemcitabine 1000 mg/m2 intravenously over 30 minutes on days 1, 8, and 15 of each 28-day cycle.
The main efficacy outcome measure was overall survival (OS). Additional efficacy measures were investigator-assessed progression-free survival (PFS) and objective response rate (ORR). NAPOLI 3 demonstrated a statistically significant improvement in OS and PFS for the NALIRIFOX arm over the Gem+NabP arm. Median OS was 11.1 months (95% CI: 10.0, 12.1) in the NALIRIFOX arm and 9.2 months (95% CI: 8.3, 10.6) in the Gem+NabP arm (Hazard Ratio [HR] 0.84 [95% CI: 0.71, 0.99]; p-value 0.0403). Median PFS was 7.4 months (95% CI: 6.0, 7.7) in the NALIRIFOX arm and 5.6 months (95% CI: 5.3, 5.8) in the Gem+NabP arm (HR 0.70 [95% CI: 0.59, 0.85]; p-value 0.0001). ORR was 41.8% (95% CI: 36.8, 46.9) in the NALIRIFOX arm and 36.2% (95% CI: 31.4, 41.2) in the Gem+NabP arm.
The most common adverse reactions of NALIRIFOX (≥20% with a difference between arms of ≥5% for all grades or ≥2% for Grades 3 or 4 compared to Gem+NabP) were diarrhea, fatigue, nausea, vomiting, decreased appetite, abdominal pain, mucosal inflammation, constipation, and decreased weight. The most common laboratory abnormalities (≥10% Grade 3 or 4) were decreased neutrophils, decreased potassium, decreased lymphocyte, and decreased hemoglobin.
The recommended irinotecan liposome dose is 50 mg/m2 administered by intravenous infusion over 90 minutes every 2 weeks. Administer irinotecan liposome before oxaliplatin, fluorouracil, and leucovorin. There is no recommended dosage of irinotecan liposome for patients with serum bilirubin above the upper limit of normal.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02/16/2024
Regulated Product(s)
Drugs</t>
  </si>
  <si>
    <t xml:space="preserve">ID_114</t>
  </si>
  <si>
    <t xml:space="preserve">FDA approves pembrolizumab with chemoradiotherapy for FIGO 2014 Stage III-IVA cervical cancer</t>
  </si>
  <si>
    <t xml:space="preserve">On January 12, 2024, the Food and Drug Administration approved pembrolizumab (Keytruda, Merck) with chemoradiotherapy (CRT) for patients with FIGO 2014 Stage III-IVA cervical cancer.</t>
  </si>
  <si>
    <t xml:space="preserve">https://www.fda.gov/drugs/resources-information-approved-drugs/fda-approves-pembrolizumab-chemoradiotherapy-figo-2014-stage-iii-iva-cervical-cancer</t>
  </si>
  <si>
    <t xml:space="preserve">2024-01-12</t>
  </si>
  <si>
    <t xml:space="preserve">FDA approves pembrolizumab with chemoradiotherapy for FIGO 2014 Stage III-IVA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12, 2024, the Food and Drug Administration approved pembrolizumab (Keytruda, Merck) with chemoradiotherapy (CRT) for patients with FIGO 2014 Stage III-IVA cervical cancer.
Full prescribing information for Keytruda will be posted here.
Efficacy was evaluated in KEYNOTE-A18 (NCT04221945), a multicenter, randomized, double-blind, placebo-controlled trial enrolling 1060 patients with cervical cancer who had not previously received definitive surgery, radiation, or systemic therapy. The trial included 596 patients with FIGO 2014 Stage III-IVA disease and 462 patients with FIGO 2014 Stage IB2-IIB, node-positive disease.
Patients were randomized (1:1) to receive pembrolizumab 200 mg or placebo every 3 weeks for 5 cycles + CRT, followed by pembrolizumab 400 mg or placebo every 6 weeks for 15 cycles. The CRT regimen included cisplatin 40 mg/m2 IV weekly for 5 cycles (with an optional 6th cycle) and external beam radiation therapy (EBRT) followed by brachytherapy. Randomization was stratified by planned type of EBRT, stage, and planned total radiotherapy dose.
The major efficacy outcome measures were progression- free survival (PFS) assessed by the investigator according to RECIST v1.1, or histopathologic confirmation, and overall survival (OS). The trial demonstrated a statistically significant improvement in PFS in the overall population. In an exploratory subgroup analysis in the 596 patients with FIGO 2014 Stage III-IVA‑ disease, the PFS hazard ratio (HR) estimate was 0.59 (95% CI: 0.43, 0.82), and 21% of patients in the pembrolizumab arm experienced a PFS event compared to 31% of patients in the placebo arm. In contrast, in an exploratory subgroup analysis in the 462 patients with FIGO 2014 Stage IB2-IIB disease, the PFS HR estimate was 0.91 (95% CI: 0.63, 1.31), indicating that the PFS improvement in the overall population was primarily attributed to patients with FIGO 2014 Stage III-IVA disease. OS data were not mature at the time of PFS analysis.
The most common adverse reactions (≥10%) occurring in patients who received pembrolizumab with chemoradiotherapy were nausea, diarrhea, vomiting, urinary tract infection, fatigue, hypothyroidism, constipation, decreased appetite, weight loss, abdominal pain, pyrexia, hyperthyroidism, dysuria, rash, and pelvic pain.
The recommended dosing regimen for pembrolizumab is 200 mg IV every 3 weeks or 400 mg IV every 6 weeks until disease progression, unacceptable toxicity, or for up to 24 months. Pembrolizumab should be administered before chemoradiotherapy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the Brazilian Health Regulatory Agency (ANVISA). The application reviews are ongoing at the other regulatory agencies.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01/12/2024
Regulated Product(s)
Drugs</t>
  </si>
  <si>
    <t xml:space="preserve">ID_115</t>
  </si>
  <si>
    <t xml:space="preserve">FDA approves enfortumab vedotin-ejfv with pembrolizumab for locally advanced or metastatic urothelial cancer</t>
  </si>
  <si>
    <t xml:space="preserve">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</si>
  <si>
    <t xml:space="preserve">https://www.fda.gov/drugs/resources-information-approved-drugs/fda-approves-enfortumab-vedotin-ejfv-pembrolizumab-locally-advanced-or-metastatic-urothelial-cancer</t>
  </si>
  <si>
    <t xml:space="preserve">2023-12-15</t>
  </si>
  <si>
    <t xml:space="preserve">FDA approves enfortumab vedotin-ejfv with pembrolizumab for locally advanced or metastatic urothelial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
Full prescribing information for Padcev and Keytruda will be posted here.
Efficacy was evaluated in EV-302/KN-A39 (NCT04223856), an open-label, randomized trial of 886 patients with la/mUC and no prior systemic therapy for advanced disease. Patients were randomized 1:1 to receive either enfortumab vedotin-ejfv with pembrolizumab or platinum-based chemotherapy (gemcitabine with either cisplatin or carboplatin). Randomization was stratified by cisplatin eligibility, PD-L1 expression, and presence of liver metastases.
The major efficacy outcome measures were overall survival (OS) and progression-free survival (PFS) as assessed by blinded independent central review. 
Statistically significant improvements in both OS and PFS were demonstrated for enfortumab vedotin-ejfv with pembrolizumab compared with platinum-based chemotherapy. Median OS was 31.5 months (95% CI: 25.4, not estimable) for patients who received enfortumab vedotin-ejfv with pembrolizumab and 16.1 months (95% CI: 13.9, 18.3) for those who received platinum-based chemotherapy (Hazard ratio [HR] 0.47 [95% CI: 0.38, 0.58]; p-value&lt;0.0001). Median PFS was 12.5 months (95% CI: 10.4, 16.6) for patients who received enfortumab vedotin-ejfv with pembrolizumab and 6.3 months (95% CI: 6.2, 6.5) for those who received platinum-based chemotherapy (HR 0.45 [95% CI: 0.38, 0.54]; p-value&lt;0.0001).
The most common (≥20%) adverse reactions, including laboratory abnormalities, in patients receiving enfortumab vedotin-ejfv with pembrolizumab were increased aspartate aminotransferase, increased creatinine, rash, increased glucose, peripheral neuropathy, increased lipase, decreased lymphocytes, increased alanine aminotransferase, decreased hemoglobin, fatigue, decreased sodium, decreased phosphate, decreased albumin, pruritus, diarrhea, alopecia, decreased weight, decreased appetite, increased urate, decreased neutrophils, decreased potassium, dry eye, nausea, constipation, increased potassium, dysgeusia, urinary tract infection, and decreased platelets.
The recommended enfortumab vedotin-ejfv dose when given with pembrolizumab is 1.25 mg/kg (up to a maximum of 125 mg for patients ≥ 100 kg) administered as an intravenous infusion over 30 minutes on Days 1 and 8 of a 21-day cycle until disease progression or unacceptable toxicity.
The recommended pembrolizumab dose when given with enfortumab vedotin-ejfv is 200 mg administered as an intravenous infusion every 3 weeks or 400 mg every 6 weeks until disease progression, unacceptable toxicity, or two years of therapy.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and Health Canada.
This review used the Real-Time Oncology Review pilot program, which streamlined data submission prior to the filing of the entire clinical application, and the Assessment Aid, a voluntary submission from the applicant to facilitate the FDA’s assessment. The FDA approved this application 5 months ahead of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12/15/2023
Regulated Product(s)
Drugs</t>
  </si>
  <si>
    <t xml:space="preserve">ID_121</t>
  </si>
  <si>
    <t xml:space="preserve">FDA approves capivasertib with fulvestrant for breast cancer</t>
  </si>
  <si>
    <t xml:space="preserve">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</si>
  <si>
    <t xml:space="preserve">https://www.fda.gov/drugs/resources-information-approved-drugs/fda-approves-capivasertib-fulvestrant-breast-cancer</t>
  </si>
  <si>
    <t xml:space="preserve">2023-11-16</t>
  </si>
  <si>
    <t xml:space="preserve">FDA approves capivasertib with fulvestrant for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
FDA also approved the FoundationOne®CDx assay as a companion diagnostic device to identify patients with breast cancer for treatment with capivasertib with fulvestrant.
The full prescribing information for Truqap will be posted here.
Efficacy was evaluated in CAPItello-291 (NCT04305496), a randomized, double-blind, placebo-controlled, multicenter trial in 708 patients with locally advanced or metastatic HR-positive, HER2-negative breast cancer, of which 289 patients had tumors with PIK3CA/AKT1/PTEN-alterations. All patients were required to have progression on aromatase inhibitor-based treatment. Patients could have received up to two prior lines of endocrine therapy and up to 1 line of chemotherapy for locally advanced or metastatic disease.
Patients were randomized (1:1) to either capivasertib 400 mg or placebo administered orally twice daily for 4 days, followed by 3 days off treatment each week over a 28-day treatment cycle. Both investigational and control arm patients received Fulvestrant 500 mg intramuscularly on cycle 1 days 1 and 15, and then every 28 days thereafter. Patients received therapy until disease progression or unacceptable toxicity.
The major efficacy outcome measure was investigator-assessed progression-free survival (PFS) in the overall population and in the population of patients whose tumors had PIK3CA/AKT1/PTEN-alterations evaluated according to RECIST, version 1.1. A statistically significant difference in PFS was observed in the overall population and in the population of patients whose tumors have PIK3CA/AKT1/PTEN-alteration(s).
In the 289 patients with PIK3CA/AKT1/PTEN-altered tumors, the median PFS was 7.3 months (95% CI: 5.5, 9.0) in the capivasertib-fulvestrant group and 3.1 months (95% CI: 2.0, 3.7) in the placebo-fulvestrant group (Hazard Ratio [HR] 0.50 [95% CI: 0.38, 0.65] p-value&lt; 0.0001).
An exploratory analysis of PFS in the 313 (44%) patients whose tumors did not have a PIK3CA/AKT1/PTEN-alteration showed a HR of 0.79 (95% CI: 0.61, 1.02), indicating that the difference in the overall population was primarily attributed to the results seen in the population of patients whose tumors have PIK3CA/AKT1/PTEN-alteration.
The most common adverse reactions (reported in ≥20% of patients), including laboratory abnormities were diarrhea, cutaneous adverse reactions, increased random glucose, decreased lymphocytes, decreased hemoglobin, increased fasting glucose, nausea, fatigue, decreased leukocytes, increased triglycerides, decreased neutrophils, increased creatinine, vomiting and stomatitis. 
The recommended capivasertib dose is 400 mg orally twice daily (approximately 12 hours apart), with or without food, for 4 days followed by 3 off days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Israel’s Ministry of Health (IMoH), Singapore’s Health Sciences Authority (HSA), Switzerland's Swissmedic, and United Kingdom’s Medicines and Healthcare Products Regulatory Agency (MHRA). The application reviews are ongoing at the other regulatory agencies.
This review used the Assessment Aid, a voluntary submission from the applicant to facilitate the FDA’s assessment. The FDA approved this application 2 weeks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t>
  </si>
  <si>
    <t xml:space="preserve">ID_122</t>
  </si>
  <si>
    <t xml:space="preserve">FDA approves pembrolizumab with chemotherapy for HER2-negative gastric or gastroesophageal junction adenocarcinoma</t>
  </si>
  <si>
    <t xml:space="preserve">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</si>
  <si>
    <t xml:space="preserve">https://www.fda.gov/drugs/resources-information-approved-drugs/fda-approves-pembrolizumab-chemotherapy-her2-negative-gastric-or-gastroesophageal-junction</t>
  </si>
  <si>
    <t xml:space="preserve">FDA approves pembrolizumab with chemotherapy for HER2-negative gastric or gastroesophageal junction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
View the full prescribing information for Keytruda
Efficacy was evaluated in KEYNOTE-859 (NCT03675737), a multicenter, randomized, double-blind, placebo-controlled trial that enrolled 1579 patients with HER2-negative advanced gastric or GEJ adenocarcinoma who had not previously received systemic therapy for metastatic disease. Patients were randomized (1:1) to receive pembrolizumab 200 mg or placebo with investigator’s choice of combination chemotherapy consisting either of cisplatin 80 mg/m2 plus 5-FU 800 mg/m2/day for 5 days (FP) or oxaliplatin 130 mg/m2 on Day 1 plus capecitabine 1000 mg/m2 twice a day for 14 days (CAPOX) of each 21-day cycle.
The major efficacy outcome measure was overall survival (OS). Additional secondary efficacy outcome measures included progression free survival (PFS), overall response rate (ORR), and duration of response (DOR) as assessed by blinded independent central review (BICR) according to RECIST v1.1, modified to follow a maximum of 10 target lesions and a maximum of 5 target lesions per organ.
Treatment with pembrolizumab and chemotherapy resulted in a statistically significant improvement in OS, PFS, and ORR. Median OS was 12.9 months (95% CI: 11.9, 14.0) in the pembrolizumab arm compared to 11.5 months (95% CI: 10.6, 12.1) in the placebo arm (hazard ratio [HR] 0.78 [95% CI: 0.70, 0.87]; p-value &lt;0.0001). Median PFS was 6.9 months (95% CI: 6.3, 7.2) and 5.6 months (95% CI: 5.5, 5.7) (HR 0.76 [95% CI: 0.67, 0.85]; p-value&lt;0.0001] in the respective arms. ORR was 51% (95% CI: 48, 55) and 42% (95% CI: 38, 45) (p-value&lt;0.0001) in the respective arms; median DOR was 8 months (95% CI: 7.0, 9.7) in the pembrolizumab arm and 5.7 months (95% CI: 5.5, 6.9) in the placebo arm. An additional pre-specified analysis showed a statistically significant improvement in OS, PFS, and ORR in patients receiving pembrolizumab based on tumors expressing PD-L1 CPS ≥ 1 and CPS ≥ 10.
Permanent discontinuation of pembrolizumab due to adverse reactions occurred in 15% of patients. Adverse reactions resulting in permanent discontinuation in ≥1% were infections and diarrhea.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11/16/2023
Regulated Product(s)
Drugs</t>
  </si>
  <si>
    <t xml:space="preserve">ID_125</t>
  </si>
  <si>
    <t xml:space="preserve">FDA amends pembrolizumab’s gastric cancer indication</t>
  </si>
  <si>
    <t xml:space="preserve">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</si>
  <si>
    <t xml:space="preserve">https://www.fda.gov/drugs/resources-information-approved-drugs/fda-amends-pembrolizumabs-gastric-cancer-indication</t>
  </si>
  <si>
    <t xml:space="preserve">2023-11-07</t>
  </si>
  <si>
    <t xml:space="preserve">FDA amends pembrolizumab’s gastric cancer indication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
The FDA also approved the Agilent PD-L1 IHC 22C3 pharmDx as a companion diagnostic device to select patients with gastric or GEJ adenocarcinoma whose tumors express PD-L1 (CPS ≥ 1).
View full prescribing information for Keytruda.
Efficacy was evaluated in KEYNOTE-811 (NCT03615326), a multicenter, randomized, double-blind, placebo-controlled trial in patients with HER2-positive locally advanced or metastatic gastric or GEJ adenocarcinoma who have not previously received systemic therapy for metastatic disease. Patients were randomized (1:1) to receive pembrolizumab 200 mg intravenously or placebo every 2 weeks with trastuzumab and either fluorouracil plus cisplatin or capecitabine plus oxaliplatin.
The major efficacy outcomes of KEYNOTE-811 are overall survival (OS) and progression-free survival (PFS). The May 5, 2021, approval was based on an interim analysis of objective response rate (ORR) and duration of response (DOR). At that time, ORR and DOR were assessed in the first 264 patients randomized. ORR was 74% (95% CI: 66, 82) in the pembrolizumab plus chemotherapy arm and 52% (95% CI: 43, 61) in the placebo plus chemotherapy arm (p-value &lt;0.0001). Median DOR was 10.6 months (range: 1.1+, 16.5+) and 9.5 months (range: 1.4+, 15.4+) in the respective arms.
In a recent, prespecified interim analysis of the fully enrolled trial (N=698), in a subgroup analysis conducted in patients with PD-L1 CPS &lt;1 (N= 104), the hazard ratio (HR) for OS and PFS were 1.41 (95% CI 0.90, 2.20) and 1.03 (95% CI 0.65, 1.64), respectively.
The safety profile for participants treated with pembrolizumab and trastuzumab + chemotherapy in KEYNOTE-811 was generally consistent with the known safety profiles of either trastuzumab + chemotherapy alone or pembrolizumab monotherapy.
The recommended pembrolizumab dose is 200 mg every 3 weeks or 400 mg every 6 weeks until disease progression, unacceptable toxicity, or up to 24 months. Pembrolizumab should be administered prior to trastuzumab and chemotherapy when given on the same day.
The FDA approved this application approximately 7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11/08/2023</t>
  </si>
  <si>
    <t xml:space="preserve">ID_126</t>
  </si>
  <si>
    <t xml:space="preserve">FDA approves pembrolizumab with chemotherapy for biliary tract cancer</t>
  </si>
  <si>
    <t xml:space="preserve">On October 31, 2023, the Food and Drug Administration approved pembrolizumab (Keytruda, Merck) to be used with gemcitabine and cisplatin for locally advanced unresectable or metastatic biliary tract cancer (BTC).</t>
  </si>
  <si>
    <t xml:space="preserve">https://www.fda.gov/drugs/resources-information-approved-drugs/fda-approves-pembrolizumab-chemotherapy-biliary-tract-cancer</t>
  </si>
  <si>
    <t xml:space="preserve">2023-10-31</t>
  </si>
  <si>
    <t xml:space="preserve">FDA approves pembrolizumab with chemotherapy for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31, 2023, the Food and Drug Administration approved pembrolizumab (Keytruda, Merck) to be used with gemcitabine and cisplatin for locally advanced unresectable or metastatic biliary tract cancer (BTC).
View full prescribing information for Keytruda.
Efficacy was evaluated in KEYNOTE-966 (NCT04003636), a multicenter, randomized, double-blind, placebo-controlled trial that enrolled 1069 patients with locally advanced unresectable or metastatic BTC who had not received prior systemic therapy for advanced disease. Patients were randomized (1:1) to receive either pembrolizumab on Day 1 plus gemcitabine and cisplatin on Day 1 and Day 8 every 3 weeks, or placebo on Day 1 plus gemcitabine and cisplatin on the above schedule. Treatment continued until unacceptable toxicity or disease progression. Cisplatin was administered for a maximum of 8 cycles; gemcitabine was continued at the physician’s discretion. Pembrolizumab or placebo were continued until disease progression, unacceptable toxicity, or a maximum of 2 years.
The major efficacy measure was overall survival (OS). Pembrolizumab plus chemotherapy demonstrated a statistically significant improvement in OS compared to placebo plus chemotherapy with a hazard ratio of 0.83 (95% Confidence Interval [CI]: 0.72, 0.95); one-sided p-value=0.0034). The median OS was 12.7 months (95% CI: 11.5, 13.6) and 10.9 months (95% CI: 9.9, 11.6) in the respective arms.
Adverse reactions leading to the interruption of pembrolizumab occurred in 55% of patients. The most common adverse reactions or laboratory abnormalities (≥2%) leading to interruption were decreased neutrophil count, decreased platelet count, anemia, decreased white blood cell count, pyrexia, fatigue, cholangitis, increased ALT, increased AST, and biliary obstruction.
The recommended pembrolizumab dose is 200 mg every 3 weeks or 400 mg every 6 weeks until disease progression or unacceptable toxicity. Pembrolizumab should be administered prior to chemotherapy when given on the same day.
This review was conducted under Project Orbis, an initiative of the FDA Oncology Center of Excellence. Project Orbis provides a framework for concurrent submission and review of oncology drugs among international partners. The application reviews are ongoing at the other regulatory agencies.
This review used the Assessment Aid, a voluntary submission from the applicant to facilitate the FDA’s assessment. The FDA approved this application 4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11/01/2023</t>
  </si>
  <si>
    <t xml:space="preserve">ID_127</t>
  </si>
  <si>
    <t xml:space="preserve">FDA approves toripalimab-tpzi for nasopharyngeal carcinoma</t>
  </si>
  <si>
    <t xml:space="preserve">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</si>
  <si>
    <t xml:space="preserve">https://www.fda.gov/drugs/resources-information-approved-drugs/fda-approves-toripalimab-tpzi-nasopharyngeal-carcinoma</t>
  </si>
  <si>
    <t xml:space="preserve">2023-10-27</t>
  </si>
  <si>
    <t xml:space="preserve">FDA approves toripalimab-tpzi for nasopharyngeal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
View full prescribing information for LOQTORZI.
Efficacy of toripalimab-tpzi with cisplatin and gemcitabine was evaluated in JUPITER-02 (NCT03581786), a randomized, multicenter, single region, double-blind, placebo-controlled trial in 289 patients with metastatic or recurrent, locally advanced NPC who had not received previous systemic chemotherapy for recurrent or metastatic disease. Patients were randomized (1:1) to either toripalimab-tpzi with cisplatin and gemcitabine, followed by toripalimab-tpzi, or placebo with cisplatin and gemcitabine, followed by placebo. Chemotherapy regimens are described in the above link for full prescribing information.
The primary efficacy outcome measure was progression-free survival (PFS), as assessed by a Blinded Independent Review Committee (BIRC) according to RECIST v1.1. Overall survival (OS) was an additional endpoint. A statistically significant PFS improvement was observed with a median PFS of 11.7 months versus 8.0 months (hazard ratio [HR] 0.52 [95% CI: 0.36, 0.74], p-value=0.0003) for the toripalimab-tpzi and placebo-containing regimens, respectively. A statistically significant OS improvement was also observed with median OS not reached (95% CI: 38.7 months, not estimable) for the toripalimab-tpzi-containing regimen and 33.7 months (95% CI: 27.0, 44.2) for the placebo-containing regimen (HR 0.63 [95% CI: 0.45, 0.89], p-value=0.0083). 
Efficacy of toripalimab-tpzi as a single agent was evaluated in POLARIS-02 (NCT02915432), an open-label, multicenter, single country, multicohort trial in 172 patients with unresectable or metastatic NPC who had received prior platinum-based chemotherapy or had disease progression within 6 months of completion of platinum-based chemotherapy administered as neoadjuvant, adjuvant, or definitive chemoradiation treatment for locally advanced disease. Patients received toripalimab-tpzi until disease progression per RECIST v1.1 or unacceptable toxicity.
The major efficacy outcome measures were confirmed overall response rate (ORR) and duration of response (DOR) as assessed by BIRC using RECIST v1.1. ORR was 21% (95% CI: 15, 28) and median DOR was 14.9 months (95% CI: 10.3, not estimable).
Immune-mediated adverse reactions occurred with toripalimab-tpzi, including pneumonitis, colitis, hepatitis, endocrinopathies, nephritis with renal dysfunction, and skin adverse reactions. The most common adverse reactions (≥20%) for toripalimab-tpzi with cisplatin and gemcitabine were nausea, vomiting, decreased appetite, constipation, hypothyroidism, rash, pyrexia, diarrhea, peripheral neuropathy, cough, musculoskeletal pain, upper respiratory infection, insomnia, dizziness, and malaise. The most common adverse reactions (≥20%) for toripalimab-tpzi as a single agent were fatigue, hypothyroidism, and musculoskeletal pain.
The recommended toripalimab-tpzi dose with cisplatin and gemcitabine is 240 mg every three weeks until disease progression, unacceptable toxicity, or up to 24 months. The recommended toripalimab-tpzi dose as a single agent for previously treated NPC is 3 mg/kg every two weeks until disease progression or unacceptable toxicity.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10/30/2023</t>
  </si>
  <si>
    <t xml:space="preserve">ID_130</t>
  </si>
  <si>
    <t xml:space="preserve">FDA approves neoadjuvant/ adjuvant pembrolizumab for resectable non-small cell lung cancer</t>
  </si>
  <si>
    <t xml:space="preserve">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</si>
  <si>
    <t xml:space="preserve">https://www.fda.gov/drugs/resources-information-approved-drugs/fda-approves-neoadjuvant-adjuvant-pembrolizumab-resectable-non-small-cell-lung-cancer</t>
  </si>
  <si>
    <t xml:space="preserve">2023-10-16</t>
  </si>
  <si>
    <t xml:space="preserve">FDA approves neoadjuvant/ adjuvant pembrolizumab for resectable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
View full prescribing information for Keytruda.
Efficacy was evaluated in KEYNOTE-671 (NCT03425643), a multicenter, randomized, double-blind, placebo-controlled trial in 797 patients with previously untreated and resectable Stage II, IIIA, or IIIB (N2) NSCLC by AJCC 8th edition. Patients were randomized (1:1) to either pembrolizumab or placebo, with platinum-based chemotherapy, every 3 weeks for 4 cycles (neoadjuvant treatment) followed by either continued single-agent pembrolizumab or placebo, every 3 weeks for up to 13 cycles (adjuvant treatment). Chemotherapy details and surgical window are provided in the above drug label link.
The major efficacy outcome measures were overall survival (OS) and investigator-assessed event-free survival (EFS). Median OS was not reached in the pembrolizumab arm (95% CI: not estimable [NE], NE) and 52.4 months for those receiving placebo (95% CI: 45.7, NE) (hazard ratio [HR] 0.72 [95% CI: 0.56, 0.93]; p-value=0.0103). Median EFS was not reached in the pembrolizumab arm (95% CI: 34.1 months, NE) and 17 months in the placebo arm (95% CI: 14.3, 22.0) (HR 0.58 [95% CI: 0.46, 0.72]; p-value=&lt;0.0001).
In KEYNOTE-671, the most common adverse reactions reported in ≥ 20% of patients were nausea, fatigue, neutropenia, anemia, constipation, decreased appetite, white blood cell count decreased, musculoskeletal pain, rash, cough, vomiting, diarrhea and dyspnea. Of the patients who received neoadjuvant treatment in the pembrolizumab arm, 6% were unable to receive surgery due to adverse reactions compared with 4.3% in the placebo arm. In addition, 3.1% of patients who received neoadjuvant treatment and surgery in the pembrolizumab arm had delays in surgery due to adverse reactions compared with 2.5% in the placebo arm. Details of the safety of the neoadjuvant and adjuvant phases are described in the above drug label link.
The recommended pembrolizumab dose is 200 mg every 3 weeks or 400 mg every 6 weeks. Administer pembrolizumab prior to chemotherapy when administered on the same day.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10/16/2023
Regulated Product(s)
Drugs</t>
  </si>
  <si>
    <t xml:space="preserve">ID_132</t>
  </si>
  <si>
    <t xml:space="preserve">FDA approves encorafenib with binimetinib for metastatic non-small cell lung cancer with a BRAF V600E mutation</t>
  </si>
  <si>
    <t xml:space="preserve">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</si>
  <si>
    <t xml:space="preserve">https://www.fda.gov/drugs/resources-information-approved-drugs/fda-approves-encorafenib-binimetinib-metastatic-non-small-cell-lung-cancer-braf-v600e-mutation</t>
  </si>
  <si>
    <t xml:space="preserve">2023-10-11</t>
  </si>
  <si>
    <t xml:space="preserve">FDA approves encorafenib with binimetinib for metastatic non-small cell lung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
FDA also approved the FoundationOne CDx (tissue) and FoundationOne Liquid CDx (plasma) as companion diagnostics for encorafenib with binimetinib. If no mutation is detected in a plasma specimen, the tumor tissue should be tested.
View full prescribing information for Braftovi and Mektovi.
Efficacy was evaluated in 98 patients with metastatic NSCLC with BRAF V600E mutation enrolled in PHAROS (NCT03915951), an open-label, multicenter, single-arm study. Prior BRAF or MEK inhibitors was not allowed. Patients received encorafenib and binimetinib until disease progression or unacceptable toxicity.
The major efficacy outcome measures were objective response rate (ORR) per RECIST v1.1 and duration of response (DoR), as assessed by an independent review committee. Among 59 treatment-naïve patients, ORR was 75% (95% CI: 62, 85); median DoR was not estimable (NE) (95% CI: 23.1, NE). Among 39 previously treated patients, ORR was 46% (95% CI: 30, 63) with a median DoR of 16.7 months (95% CI: 7.4, NE).
The most common adverse reactions (≥25%) were fatigue, nausea, diarrhea, musculoskeletal pain, vomiting, abdominal pain, visual impairment, constipation, dyspnea, rash, and cough.
The recommended doses for BRAF V600E mutation-positive NSCLC are encorafenib 450 mg orally once daily and binimetinib 45 mg orally twice daily.
This review used the Assessment Aid, a voluntary submission from the applicant to facilitate the FDA’s assessment.
This application was granted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10/11/2023
Regulated Product(s)
Drugs</t>
  </si>
  <si>
    <t xml:space="preserve">ID_137</t>
  </si>
  <si>
    <t xml:space="preserve">FDA approves niraparib and abiraterone acetate plus prednisone for BRCA-mutated metastatic castration-resistant prostate cancer</t>
  </si>
  <si>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</si>
  <si>
    <t xml:space="preserve">https://www.fda.gov/drugs/resources-information-approved-drugs/fda-approves-niraparib-and-abiraterone-acetate-plus-prednisone-brca-mutated-metastatic-castration</t>
  </si>
  <si>
    <t xml:space="preserve">2023-08-11</t>
  </si>
  <si>
    <t xml:space="preserve">FDA approves niraparib and abiraterone acetate plus prednisone for BRCA-mutated metastatic castration-resistant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View full prescribing information for Akeega.
Efficacy was evaluated in Cohort 1 of MAGNITUDE (NCT03748641), a randomized, double-blind, placebo-controlled trial enrolling 423 patients with homologous recombination repair (HRR) gene-mutated mCRPC. Patients were randomized (1:1) to receive niraparib 200 mg and abiraterone acetate 1,000 mg plus prednisone 10mg daily or placebo and abiraterone acetate plus prednisone daily. Patients were required to have a prior orchiectomy or be receiving gonadotropin-releasing hormone (GnRH) analogues. Patients with mCRPC were eligible if they had not received prior systemic therapy in the mCRPC setting except for a short duration of prior abiraterone acetate plus prednisone (up to four months) and ongoing ADT. Patients could have received prior docetaxel or androgen-receptor (AR) targeted therapies in earlier disease settings. Randomization was stratified by prior docetaxel, prior AR targeted therapy, prior abiraterone acetate plus prednisone, and BRCA status. Of the 423 patients enrolled, 225 (53%) had prospectively determined BRCA gene mutations (BRCAm). No benefit was observed in mCRPC patients without an HRR gene mutation (Cohort 2 of MAGNITUDE) as the criterion for futility was met.
The major efficacy outcome measure was radiographic progression-free survival (rPFS) per RECIST version 1.1 for soft tissue and Prostate Cancer Working Group 3 criteria for bone, assessed by blinded independent central review. Overall survival (OS) was an additional endpoint.
A statistically significant improvement in rPFS for niraparib and abiraterone acetate plus prednisone compared to placebo and abiraterone acetate plus prednisone was observed in BRCAm patients with a median of 16.6 months vs 10.9 months (HR 0.53; 95% CI 0.36, 0.79; p=0.0014). An exploratory OS analysis in the BRCAm patients demonstrated a median of 30.4 vs 28.6 months (HR 0.79; 95% CI: 0.55, 1.12) favoring the investigational arm. While a statistically significant improvement in rPFS was seen in the overall Cohort 1 intention to treat (ITT) HRR population (HR 0.73; 95% CI 0.56, 0.96; p=0.0217), in the subgroup of 198 (47%) patients with non-BRCA HRR mutations, the rPFS hazard ratio was 0.99 (95% CI: 0.67, 1.44) and the OS hazard ratio was 1.13 (95% CI: 0.77, 1.64), indicating that the improvement in the ITT HRR gene-mutated population was primarily attributed to the results seen in the subgroup of patients with BRCAm.
The most common adverse reactions (≥20%), including laboratory abnormalities, were decreased hemoglobin, decreased lymphocytes, decreased white blood cells, musculoskeletal pain, fatigue, decreased platelets, increased alkaline phosphatase, constipation, hypertension, nausea, decreased neutrophils, increased creatinine, increased potassium, decreased potassium, and increased AST. Among all patients with mCRPC treated with niraparib and abiraterone acetate plus prednisone in Cohort 1 of MAGNITUDE (n=423), 27% required a blood transfusion, including 11% who required multiple transfusions.
The recommended Akeega dose is 200 mg niraparib and 1,000 mg abiraterone acetate taken orally once daily in combination with 10 mg of prednisone daily until disease progression or unacceptable toxicity. Patients receiving niraparib and abiraterone acetate plus prednisone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X (formerly Twitter) @FDAOncology.
Content current as of:
08/11/2023</t>
  </si>
  <si>
    <t xml:space="preserve">ID_140</t>
  </si>
  <si>
    <t xml:space="preserve">FDA approves trifluridine and tipiracil with bevacizumab for previously treated metastatic colorectal cancer</t>
  </si>
  <si>
    <t xml:space="preserve">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</si>
  <si>
    <t xml:space="preserve">https://www.fda.gov/drugs/drug-approvals-and-databases/fda-approves-trifluridine-and-tipiracil-bevacizumab-previously-treated-metastatic-colorectal-cancer</t>
  </si>
  <si>
    <t xml:space="preserve">2023-08-02</t>
  </si>
  <si>
    <t xml:space="preserve">FDA approves trifluridine and tipiracil with bevacizumab for previously treated metastatic colorectal cancer
Drug Approvals and Databases
Resources for Information | Approved Drugs
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
View full prescribing information for LONSURF.
Safety and efficacy were evaluated in SUNLIGHT (NCT04737187), a randomized, open-label, multicenter, global trial of LONSURF with bevacizumab compared to single-agent LONSURF in 492 patients with mCRC who received a maximum of two prior chemotherapy regimens and demonstrated progressive disease or intolerance to the last regimen.
The primary efficacy outcome measures were overall survival (OS) and progression-free survival (PFS). The trial demonstrated a statistically significant OS improvement in patients randomized to the LONSURF plus bevacizumab arm compared to those randomized to LONSURF (Hazard ratio 0.61; 95% CI: 0.49, 0.77; 1-sided p&lt;0.001). Median OS was 10.8 months in the LONSURF plus bevacizumab arm (95% CI: 9.4, 11.8) and 7.5 months in the LONSURF arm (95% CI: 6.3, 8.6). Median PFS was 5.6 months in the LONSURF plus bevacizumab arm (95% CI: 4.5, 5.9) and 2.4 months in the LONSURF arm (95% CI: 2.1, 3.2) (Hazard ratio 0.44; 95% CI: 0.36, 0.54; 1-sided p&lt;0.001).
The most common adverse reactions or laboratory abnormalities for LONSURF with bevacizumab (≥20%) are neutropenia, anemia, thrombocytopenia, fatigue, nausea, increased AST, increased ALT, increased alkaline phosphatase, decreased sodium, diarrhea, abdominal pain, and decreased appetite.
The recommended LONSURF dose is 35 mg/m2 orally twice daily with food on days 1 through 5 and days 8 through 12 of each 28-day cycle. Refer to the Prescribing Information for bevacizumab dosing information.
This application was granted priority review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08/02/2023
Regulated Product(s)
Drugs</t>
  </si>
  <si>
    <t xml:space="preserve">ID_141</t>
  </si>
  <si>
    <t xml:space="preserve">FDA approves dostarlimab-gxly with chemotherapy for endometrial cancer</t>
  </si>
  <si>
    <t xml:space="preserve">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</si>
  <si>
    <t xml:space="preserve">https://www.fda.gov/drugs/drug-approvals-and-databases/fda-approves-dostarlimab-gxly-chemotherapy-endometrial-cancer</t>
  </si>
  <si>
    <t xml:space="preserve">2023-07-31</t>
  </si>
  <si>
    <t xml:space="preserve">FDA approves dostarlimab-gxly with chemotherapy for endometrial cancer
Drug Approvals and Databases
Resources for Information | Approved Drugs
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
View full prescribing information for Jemperli.
Efficacy was evaluated in RUBY (NCT03981796), a randomized, multicenter, double-blind, placebo-controlled trial. Efficacy was assessed in a pre-specified subgroup of 122 patients with dMMR/MSI-H primary advanced or recurrent EC. MMR/MSI tumor status was determined by local testing assays (IHC, PCR, or NGS), or central testing (IHC), using the Ventana MMR RxDx Panel, when local results were unavailable.
Patients were randomized (1:1) to either dostarlimab-gxly with carboplatin and paclitaxel, followed by dostarlimab-gxly, or placebo with carboplatin and paclitaxel, followed by placebo. Chemotherapy regimens are described in the above link for full prescribing information. Randomization was stratified by MMR/MSI status, prior external pelvic radiotherapy, and disease status (recurrent, primary Stage III, or primary Stage IV).
The primary efficacy outcome measure was investigator-assessed progression- free survival (PFS) using RECIST v 1.1. A statistically significant PFS improvement was observed in the dMMR/MSI-H population with a median PFS of 30.3 versus 7.7 months (Hazard Ratio=0.29 [95% CI: 0.17, 0.50]; p-value&lt;0.0001), for the dostarlimab-gxly and placebo-containing regimens, respectively.
Immune-mediated adverse reactions occurred with dostarlimab-gxly, including pneumonitis, colitis, hepatitis, endocrinopathies, such as hypothyroidism, nephritis with renal dysfunction, and skin adverse reactions. The most common adverse reactions (≥20%) with dostarlimab-gxly in combination with carboplatin and paclitaxel were rash, diarrhea, hypothyroidism, and hypertension. See the prescribing information for complete adverse reactions.
The recommended dostarlimab-gxly dose is 500 mg every 3 weeks for 6 doses with carboplatin and paclitaxel, followed by 1,000 mg monotherapy every 6 weeks until disease progression or unacceptable toxicity, or up to 3 years. Dostarlimab-gxly should be administered before chemotherapy when administered on the same day.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Switzerland’s Swissmedic (SMC), and United Kingdom’s Medicines and Healthcare products Regulatory Agency (MHRA). The application reviews are ongoing at the other regulatory agencies.
This review used the Assessment Aid, a voluntary submission from the Applicant to facilitate the FDA’s review. The FDA approved this application 2 months prior to the FDA goal date.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07/31/2023
Regulated Product(s)
Drugs</t>
  </si>
  <si>
    <t xml:space="preserve">ID_142</t>
  </si>
  <si>
    <t xml:space="preserve">FDA approves quizartinib for newly diagnosed acute myeloid leukemia</t>
  </si>
  <si>
    <t xml:space="preserve">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</si>
  <si>
    <t xml:space="preserve">https://www.fda.gov/drugs/drug-approvals-and-databases/fda-approves-quizartinib-newly-diagnosed-acute-myeloid-leukemia</t>
  </si>
  <si>
    <t xml:space="preserve">2023-07-20</t>
  </si>
  <si>
    <t xml:space="preserve">FDA approves quizartinib for newly diagnosed acute myeloid leukemia
Drug Approvals and Databases
Resources for Information | Approved Drugs
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FDA also approved LeukoStrat CDx FLT3 Mutation Assay as a companion diagnostic for Vanflyta.
View full prescribing information for Vanflyta.
Efficacy of quizartinib with chemotherapy was evaluated in QuANTUM-First (NCT02668653), a randomized, double-blind, placebo-controlled trial of 539 patients with newly diagnosed FLT3-ITD positive AML. FLT3-ITD status was determined prospectively with a clinical trial assay and verified retrospectively with the companion diagnostic LeukoStrat CDx FLT3 Mutation Assay.
Patients were randomized (1:1) to receive quizartinib (n=268) or placebo (n=271) with induction and consolidation therapy and as maintenance monotherapy according to the initial assignment. There was no re-randomization at the initiation of post-consolidation therapy. Patients who proceeded to hematopoietic stem cell transplantation (HSCT) initiated maintenance therapy after HSCT recovery.
The main efficacy outcome measure was overall survival (OS), measured from randomization date until death by any cause. The primary analysis was conducted after a minimum follow-up of 24 months after the last patient was randomized. The trial demonstrated a statistically significant improvement in OS for the quizartinib arm [hazard ratio (HR) 0.78; 95% CI: 0.62, 0.98; 2‑sided p=0.0324]. The CR rate in the quizartinib arm was 55% (95% CI: 48.7, 60.9) with a median duration of 38.6 months (95% CI: 21.9, NE), and the CR rate in those receiving placebo was 55% (95% CI: 49.2, 61.4) with a median duration of 12.4 months (95% CI: 8.8, 22.7).
Quizartinib is not indicated as maintenance monotherapy following allogeneic HSCT. Improvement in OS with quizartinib has not been demonstrated in this setting.
A boxed warning for quizartinib notes QT prolongation, torsades de pointes, and cardiac arrest. Quizartinib is available only through a restricted program under a Risk Evaluation and Mitigation Strategy (REMS), called the Vanflyta REMS. See the prescribing information for the full list of adverse reactions.
The recommended quizartinib dose is as follows:
Induction: 35.4 mg orally once daily on Days 8-21 of “7 + 3” (cytarabine [100 or 200 mg/m2/day] on Days 1 to 7 plus daunorubicin [60 mg/m2/day] or idarubicin [12 mg/m2/day] on Days 1 to 3) and on Days 8-21 or 6-19 of an optional second induction (“7 + 3” or “5 + 2” [5 days cytarabine plus 2 days daunorubicin or idarubicin], respectively),
b) Consolidation: 35.4 mg orally once daily on Days 6-19 of high‑dose cytarabine (1.5 to 3 g/m2 every 12 hours on Days 1, 3 and 5) for up to 4 cycles, and
c) Maintenance: 26.5 mg orally once daily on Days 1 to 14 and 53 mg once daily, thereafter, for up to thirty-six 28-day cycles.
This review used the Assessment Aid, a voluntary submission from the applicant to facilitate the FDA’s assessment.
This application was granted priority review, fast track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07/20/2023
Regulated Product(s)
Drugs</t>
  </si>
  <si>
    <t xml:space="preserve">ID_143</t>
  </si>
  <si>
    <t xml:space="preserve">FDA approves talazoparib with enzalutamide for HRR gene-mutated metastatic castration-resistant prostate cancer</t>
  </si>
  <si>
    <t xml:space="preserve">On June 20, 2023, the Food and Drug Administration approved talazoparib (Talzenna, Pfizer, Inc.) with enzalutamide for homologous recombination repair (HRR) gene-mutated metastatic castration-resistant prostate cancer (mCRPC).</t>
  </si>
  <si>
    <t xml:space="preserve">https://www.fda.gov/drugs/drug-approvals-and-databases/fda-approves-talazoparib-enzalutamide-hrr-gene-mutated-metastatic-castration-resistant-prostate</t>
  </si>
  <si>
    <t xml:space="preserve">2023-06-20</t>
  </si>
  <si>
    <t xml:space="preserve">FDA approves talazoparib with enzalutamide for HRR gene-mutated metastatic castration-resistant prostate cancer
Drug Approvals and Databases
Resources for Information | Approved Drugs
On June 20, 2023, the Food and Drug Administration approved talazoparib (Talzenna, Pfizer, Inc.) with enzalutamide for homologous recombination repair (HRR) gene-mutated metastatic castration-resistant prostate cancer (mCRPC).
View full prescribing information for Talzenna
Efficacy was evaluated in TALAPRO-2 (NCT03395197), a randomized, double-blind, placebo-controlled, multi-cohort trial enrolling 399 patients with HRR gene-mutated mCRPC. Patients were randomized (1:1) to receive enzalutamide 160 mg daily plus either talazoparib 0.5 mg or placebo daily. Patients were required to have a prior orchiectomy and, if not performed, received gonadotropin-releasing hormone (GnRH) analogs. Patients with prior systemic therapy for mCRPC were excluded; however, prior CYP17 inhibitors or docetaxel for metastatic castration-sensitive prostate cancer (mCSPC) was permitted. Randomization was stratified by previous treatment with a CYP17 inhibitor or docetaxel. HRR genes (ATM, ATR, BRCA1, BRCA2, CDK12, CHEK2, FANCA, MLH1, MRE11A, NBN, PALB2, or RAD51C) were assessed prospectively using tumor tissue and/or circulating tumor DNA (ctDNA)-based next generation sequencing assays.
The major efficacy outcome measure was radiographic progression-free survival (rPFS) per RECIST version 1.1 for soft tissue and Prostate Cancer Working Group 3 criteria for bone, assessed by blinded independent central review.
A statistically significant improvement in rPFS for talazoparib with enzalutamide compared to placebo with enzalutamide was observed in the HRR gene-mutated population with a median that was not reached vs 13.8 months (HR 0.45; 95% CI: 0.33, 0.61; p&lt;0.0001). In an exploratory analysis by BRCA mutation status, the hazard ratio for rPFS in patients with BRCA-mutated mCRPC (n=155) was 0.20 (95% CI: 0.11, 0.36) and, in patients with non-BRCAm HRR gene-mutated mCRPC, was 0.72 (0.49, 1.07).
The most common adverse reactions (≥10%), including laboratory abnormalities, were decreased hemoglobin, decreased neutrophils, decreased lymphocytes, fatigue, decreased platelets, decreased calcium, nausea, decreased appetite, decreased sodium, decreased phosphate, fractures, decreased magnesium, dizziness, increased bilirubin, decreased potassium, and dysgeusia. Among all patients with mCRPC treated with talazoparib with enzalutamide on TALAPRO-2 (n=511), 39% required a blood transfusion, including 22% who required multiple transfusions, and 2 patients were diagnosed with myelodysplastic syndrome/acute myeloid leukemia (MDS/AML).
The recommended talazoparib dose is 0.5 mg taken orally once daily in combination with enzalutamide until disease progression or unacceptable toxicity. The recommended enzalutamide dose is 160 mg taken orally once daily. Patients receiving talazoparib and enzalutamide should also receive a GnRH analog concurrently or should have had bilateral orchiectomy.
This review used the Assessment Aid, a voluntary submission from the applicant to facilitate the FDA’s assessment.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06/20/2023
Regulated Product(s)
Drugs</t>
  </si>
  <si>
    <t xml:space="preserve">ID_145</t>
  </si>
  <si>
    <t xml:space="preserve">FDA approves olaparib with abiraterone and prednisone (or prednisolone) for BRCA-mutated metastatic castration-resistant prostate cancer</t>
  </si>
  <si>
    <t xml:space="preserve">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</si>
  <si>
    <t xml:space="preserve">https://www.fda.gov/drugs/drug-approvals-and-databases/fda-approves-olaparib-abiraterone-and-prednisone-or-prednisolone-brca-mutated-metastatic-castration</t>
  </si>
  <si>
    <t xml:space="preserve">2023-05-31</t>
  </si>
  <si>
    <t xml:space="preserve">FDA approves olaparib with abiraterone and prednisone (or prednisolone) for BRCA-mutated metastatic castration-resistant prostate cancer
Drug Approvals and Databases
Resources for Information | Approved Drugs
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
View full prescribing information for Lynparza.
Efficacy was evaluated in the PROpel trial (NCT03732820) that enrolled 796 patients with mCRPC, Patients were randomized (1:1) to receive either olaparib with abiraterone or placebo with abiraterone and also received prednisone or prednisolone. Patients were required to have a prior orchiectomy and, if not performed, received gonadotropin-releasing hormone (GnRH) analogs. Patients with prior systemic therapy for mCRPC were excluded; however, prior docetaxel for metastatic hormone-sensitive prostate cancer was allowed. Randomization was stratified by site of metastases and prior docetaxel. All available clinical samples were retrospectively tested for BRCA mutational status with the FoundationOne CDx and FoundationOne Liquid CDx tests (Foundation Medicine, Inc.).
The major efficacy outcome measure was investigator-assessed radiological progression-free survival (rPFS) per RECIST version 1.1 for soft tissue and Prostate Cancer Working Group criteria for bone lesions. Overall survival (OS) was an additional endpoint.
A statistically significant improvement in rPFS for olaparib with abiraterone compared to placebo with abiraterone in the intent-to-treat (ITT) population was observed. An exploratory subgroup analysis in the 85 patients with BRCAm (11% of ITT population) demonstrated a median rPFS that was not reached in the olaparib with abiraterone arm compared to 8 months (95% CI: 6, 15) for those receiving placebo with abiraterone (hazard ratio [HR] 0.24 [95% CI: 0.12, 0.45]). The OS HR in these patients was 0.30 (95% CI: 0.15, 0.59). In the 711 patients (89% of ITT population) without BRCAm, the rPFS HR was 0.77 (95% CI: 0.63, 0.96) and the OS HR was 0.92 (95% CI: 0.74, 1.14), suggesting that the improvement in rPFS observed in the ITT population was primarily attributable to patients with BRCAm.
The most common adverse reactions (≥10%) in patients receiving olaparib plus abiraterone were anemia (48%), fatigue (38%), nausea (30%), diarrhea (19%), decreased appetite (16%), lymphopenia (14%), dizziness (14%), and abdominal pain (13%). Seventy-two patients (18%) required at least one blood transfusion and 46 (12%) required multiple transfusions.
The recommended olaparib dose is 300 mg taken orally twice daily with or without food. The recommended abiraterone dose is 1000 mg taken orally once daily. Abiraterone should be administered with prednisone or prednisolone 5 mg orally twice daily. Patients should also receive a GnRH analog concurrently or should have had a prior bilateral orchiectomy.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05/31/2023</t>
  </si>
  <si>
    <t xml:space="preserve">ID_147</t>
  </si>
  <si>
    <t xml:space="preserve">FDA approves polatuzumab vedotin-piiq for previously untreated diffuse large B-cell lymphoma, not otherwise specified, and high-grade B-cell lymphoma</t>
  </si>
  <si>
    <t xml:space="preserve">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</si>
  <si>
    <t xml:space="preserve">https://www.fda.gov/drugs/resources-information-approved-drugs/fda-approves-polatuzumab-vedotin-piiq-previously-untreated-diffuse-large-b-cell-lymphoma-not</t>
  </si>
  <si>
    <t xml:space="preserve">2023-04-19</t>
  </si>
  <si>
    <t xml:space="preserve">FDA approves polatuzumab vedotin-piiq for previously untreated diffuse large B-cell lymphoma, not otherwise specified, and high-grade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
View full prescribing information for Polivy.
Approval was based on POLARIX (NCT03274492), a randomized, double-blind, placebo-controlled trial in 879 patients with previously untreated large B-cell lymphoma and an IPI score of 2-5. The trial evaluated the superiority of substituting polatuzumab vedotin for vincristine in the R-CHOP (rituximab, cyclophosphamide, doxorubicin, vincristine, and prednisone) regimen. Patients were randomized (1:1) to receive either polatuzumab vedotin plus R-CHP (pola + R-CHP) or R-CHOP for six 21-day cycles, followed by two additional cycles of rituximab alone in both arms. The main diagnoses were de novo DLBCL, NOS (84%) and HGBL (11%).
Efficacy was based on investigator-assessed progression-free survival (PFS). PFS was statistically significantly longer in the pola + R-CHP arm, with a hazard ratio (HR) of 0.73 (95% CI: 0.57, 0.95; p = 0.0177). This arm also had a statistically significant improvement in modified event-free survival (HR 0.75; 95% CI: 0.58, 0.96; p=0.0244). No significant difference in complete response rate or overall survival (HR 0.94; 95% CI: 0.67, 1.33 on final analysis) was observed.
The most common adverse reactions with pola + R-CHP (≥20%), excluding laboratory abnormalities, were peripheral neuropathy, nausea, fatigue, diarrhea, constipation, alopecia, and mucositis. Grade 3 to 4 laboratory abnormalities (≥10%) were lymphopenia, neutropenia, hyperuricemia, and anemia. Peripheral neuropathy developed or worsened in 53% of patients, with resolution in 58% after a median of 4 months. Serious adverse reactions occurred in 34% of patients, including febrile neutropenia and pneumonia.
The recommended dose of polatuzumab vedotin is 1.8 mg/kg as an intravenous infusion every 21 days for 6 cycles in combination with R-CHP. Patients should be premedicated with an antihistamine and antipyretic and receive prophylactic granulocyte colony-stimulating factor.
This review used the Assessment Aid, a voluntary submission from the applicant to facilitate the FDA’s assessment.
This application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04/20/2023</t>
  </si>
  <si>
    <t xml:space="preserve">ID_149</t>
  </si>
  <si>
    <t xml:space="preserve">FDA grants accelerated approval to enfortumab vedotin-ejfv with pembrolizumab for locally advanced or metastatic urothelial carcinoma</t>
  </si>
  <si>
    <t xml:space="preserve">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</si>
  <si>
    <t xml:space="preserve">https://www.fda.gov/drugs/resources-information-approved-drugs/fda-grants-accelerated-approval-enfortumab-vedotin-ejfv-pembrolizumab-locally-advanced-or-metastatic</t>
  </si>
  <si>
    <t xml:space="preserve">2023-04-03</t>
  </si>
  <si>
    <t xml:space="preserve">FDA grants accelerated approval to enfortumab vedotin-ejfv with pembrolizumab for locally advanced or metastatic urothelial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
View full prescribing information for Padcev and Keytruda. 
Efficacy was evaluated in EV-103/KEYNOTE-869 (NCT03288545), a multi-cohort (dose escalation cohort, Cohort A, Cohort K) study. The dose escalation cohort and Cohort A were single-arm cohorts treating patients with enfortumab vedotin-ejfv plus pembrolizumab while patients on Cohort K were randomized to either the combination or to enfortumab vedotin-ejfv alone. Patients had not received prior systemic therapy for locally advanced or metastatic disease and were ineligible for cisplatin-containing chemotherapy. A total of 121 patients received enfortumab vedotin-ejfv plus pembrolizumab.
The major efficacy outcome measures were objective response rate (ORR) and duration of response (DoR) determined by blinded independent central review using RECIST v1.1. The confirmed ORR in 121 patients was 68% (95% CI: 59, 76), including 12% with complete responses. The median DoR for the dose escalation cohort + Cohort A was 22 months (range: 1+ to 46+) and for Cohort K was not reached (range: 1 to 24+). 
The most common adverse reactions (&gt;20%), including laboratory abnormalities, were increased glucose, increased aspartate aminotransferase, rash, decreased hemoglobin, increased creatinine, peripheral neuropathy, decreased lymphocytes, fatigue, increased alanine aminotransferase, decreased sodium, increased lipase, decreased albumin, alopecia, decreased phosphate, decreased weight, diarrhea, pruritus, decreased appetite, nausea, dysgeusia, decreased potassium, decreased neutrophils, urinary tract infection, constipation, potassium increased, calcium increased, peripheral edema, dry eye, dizziness, arthralgia, and dry skin. 
The recommended enfortumab vedotin-ejfv dose when given with pembrolizumab is 1.25 mg/kg (up to a maximum of 125 mg for patients ≥100 kg) administered as an intravenous infusion over 30 minutes on Days 1 and 8 of a 21-day cycle until disease progression or unacceptable toxicity. The recommended pembrolizumab dose, administered after enfortumab vedotin on the same day, is 200 mg every 3 weeks or 400 mg every 6 weeks until disease progression, unacceptable toxicity, or up to 24 months. 
This review used the Assessment Aid, a voluntary submission from the applicant to facilitate the FDA’s assessment. 
This application was granted priority review and breakthrough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04/03/2023
Regulated Product(s)
Drugs</t>
  </si>
  <si>
    <t xml:space="preserve">ID_151</t>
  </si>
  <si>
    <t xml:space="preserve">FDA approves dabrafenib with trametinib for pediatric patients with low-grade glioma with a BRAF V600E mutation</t>
  </si>
  <si>
    <t xml:space="preserve">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</si>
  <si>
    <t xml:space="preserve">https://www.fda.gov/drugs/resources-information-approved-drugs/fda-approves-dabrafenib-trametinib-pediatric-patients-low-grade-glioma-braf-v600e-mutation</t>
  </si>
  <si>
    <t xml:space="preserve">2023-03-16</t>
  </si>
  <si>
    <t xml:space="preserve">FDA approves dabrafenib with trametinib for pediatric patients with low-grade glioma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
This represents the first FDA approval of a systemic therapy for the first-line treatment of pediatric patients with LGG with a BRAF V600E mutation.
View full prescribing information for Tafinlar and Mekinist.
Efficacy was evaluated in Study CDRB436G2201 (NCT02684058), a multicenter, open-label trial in patients with LGG (WHO grades 1 and 2) requiring first systemic therapy. Patients were randomized 2:1 to dabrafenib plus trametinib (D+T) or carboplatin plus vincristine (C+V). BRAF mutation status was identified prospectively by local or central laboratory tests. Retrospective testing of available tumor samples by the central laboratory was also performed to evaluate mutation status. Patients received age- and weight-based dosing of D+T until they were no longer deriving benefit or experienced unacceptable toxicity. C+V were dosed based on body surface area at 175 mg/m2 and 1.5 mg/m2 (0.05 mg/kg for patients &lt; 12 kg), respectively, as one 10-week induction course, followed by eight 6-week cycles of maintenance therapy.
The major efficacy outcome measure was overall response rate (ORR) by independent review based on RANO LGG (2017) criteria. Additional efficacy outcome measures were progression- free survival (PFS) and overall survival (OS). The primary analysis was performed when all patients had completed at least 32 weeks of therapy.
In the LGG cohort, 110 patients were randomized to D+T (n=73) or C+V (n=37). ORR was 46.6% (95% CI: 34.8, 58.6) in the D+T arm and 10.8% (95% CI: 3.0, 25.4) for those receiving C+V (p= &lt;0.001). DOR was 23.7 months (95% CI: 14.5, not estimable) in the D+T arm and not estimable (95% CI: 6.6, not estimable) in the C+V arm. PFS was 20.1 months (95% CI: 12.8, not estimable) and 7.4 months (95% CI: 3.6, 11.8) (HR=0.31 [95% CI: 0.17, 0.55]; p= &lt;0.001) in the D+T and C+V arms, respectively. At the time of the interim analysis of OS conducted when all patients had completed at least 32 weeks of treatment or had discontinued earlier, there was one death on the C+V arm. The OS results at the interim analysis did not reach statistical significance.
In the pooled safety population of pediatric patients receiving D+T (N=166), the most common (&gt;20%) adverse reactions were pyrexia (66%), rash (54%), headache (40%), vomiting (38%), musculoskeletal pain (36%), fatigue (31%), dry skin (31%), diarrhea (30%), nausea (26%), epistaxis and other bleeding events (25%), abdominal pain (24%), and dermatitis acneiform (23%). The most common (&gt;2%) Grade 3 or 4 laboratory abnormalities were decreased neutrophil count (20%), increased alanine aminotransferase (3.1%), and aspartate aminotransferase increased (3.1%).
The recommended doses for dabrafenib and trametinib in pediatric patients are based on body weight; dabrafenib is administered orally twice daily and trametinib is administered orally once daily. Dabrafenib and trametinib are administered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Israel’s Ministry of Health and Switzerland’s Swissmedic.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03/31/2023
Regulated Product(s)
Drugs</t>
  </si>
  <si>
    <t xml:space="preserve">ID_152</t>
  </si>
  <si>
    <t xml:space="preserve">FDA expands early breast cancer indication for abemaciclib with endocrine therapy</t>
  </si>
  <si>
    <t xml:space="preserve">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</si>
  <si>
    <t xml:space="preserve">https://www.fda.gov/drugs/resources-information-approved-drugs/fda-expands-early-breast-cancer-indication-abemaciclib-endocrine-therapy</t>
  </si>
  <si>
    <t xml:space="preserve">2023-03-03</t>
  </si>
  <si>
    <t xml:space="preserve">FDA expands early breast cancer indication for abemaciclib with endocrine therapy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
Patients defined as high risk included those having either ≥4 pALN (pathologic axillary lymph nodes) or 1-3 pALN and either tumor grade 3 or a tumor size ≥50 mm.
Abemaciclib was previously approved for the above high-risk population with the additional requirement of having a Ki-67 score ≥20%. Today’s approval removes the Ki-67 testing requirement.
View full prescribing information for Verzenio.
Efficacy was evaluated in monarchE (NCT03155997), a randomized (1:1), open-label, two-cohort multicenter trial including adult women and men with HR-positive, HER2-negative, node-positive, resected, early breast cancer with clinical and pathological features consistent with a high risk of recurrence. To be enrolled in cohort 1, patients must have either ≥4 pALN or 1-3 pALN and either tumor grade 3 or a tumor size ≥50 mm. To be enrolled in cohort 2, patients could not be eligible for cohort 1 and must have had 1-3 pALN and tumor Ki-67 score ≥20%. Patients were randomized to either 2 years of abemaciclib plus physician’s choice of standard endocrine therapy (tamoxifen or an aromatase inhibitor) or standard endocrine therapy alone.
The major efficacy outcome measure was invasive disease-free survival (IDFS). A statistically significant difference was observed in the intent-to-treat (ITT) population, primarily attributed to the patients in cohort 1 (cohort 1 N=5120 [91%]; IDFS HR 0.653 (95% CI: 0.567, 0.753)). IDFS at 48 months was 85.5% (95% CI: 83.8, 87.0) for abemaciclib plus standard endocrine therapy and 78.6% (95% CI: 76.7, 80.4) for standard endocrine therapy alone. Overall survival data remains immature, however, in cohort 2, more deaths were observed with abemaciclib plus standard endocrine therapy compared to standard endocrine therapy alone (10/253 vs. 5/264). Therefore, the indication was restricted to cohort 1.
The most common adverse reactions (≥20%) were diarrhea, infections, neutropenia, fatigue, leukopenia, nausea, anemia, and headache.
The recommended abemaciclib starting dose is 150 mg taken twice daily with tamoxifen or an aromatase inhibitor until completion of 2 years of treatment or until disease recurrence or unacceptable toxicity.
This review used the Assessment Aid, a voluntary submission from the applicant to facilitate the FDA’s assessment. The FDA approved this application 2 months ahead of the FDA goal date.
This application was granted priority review. FDA expedited programs are described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03/03/2023
Regulated Product(s)
Drugs</t>
  </si>
  <si>
    <t xml:space="preserve">ID_159</t>
  </si>
  <si>
    <t xml:space="preserve">FDA grants accelerated approval to tucatinib with trastuzumab for colorectal cancer</t>
  </si>
  <si>
    <t xml:space="preserve">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</si>
  <si>
    <t xml:space="preserve">https://www.fda.gov/drugs/resources-information-approved-drugs/fda-grants-accelerated-approval-tucatinib-trastuzumab-colorectal-cancer</t>
  </si>
  <si>
    <t xml:space="preserve">2023-01-19</t>
  </si>
  <si>
    <t xml:space="preserve">FDA grants accelerated approval to tucatinib with trastuzumab for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
View full prescribing information for Tukysa
Efficacy was evaluated in 84 patients in MOUNTAINEER (NCT03043313), an open-label, multicenter trial. Patients were required to have HER2-positive, RAS wild-type, unresectable or metastatic colorectal cancer and prior treatment with fluoropyrimidine, oxaliplatin, irinotecan, and an anti-vascular endothelial growth factor (VEGF) monoclonal antibody (mAb). Patients whose tumors were deficient in mismatch repair (dMMR) proteins or were microsatellite instability-high (MSI-H) must also have received an anti-programmed cell death protein-1 mAb. Patients who received prior anti-HER2 targeting therapy were excluded.
Patients received tucatinib 300 mg orally twice daily with trastuzumab (or a non-U.S. approved trastuzumab product) administered at a loading dose of 8 mg/kg intravenously on Day 1 of Cycle 1 followed by a maintenance dose of trastuzumab 6 mg/kg on Day 1 of each subsequent 21-day cycle. Patients were treated until disease progression or unacceptable toxicity.
The major efficacy measures were overall response rate (ORR) and duration of response (DOR) as assessed by blinded independent central review (RECIST version 1.1.). ORR was 38% (95% CI: 28, 49) and median DOR was 12.4 months (95% CI: 8.5, 20.5).
The most common adverse events (≥20%) were diarrhea, fatigue, rash, nausea, abdominal pain, infusion related reactions, and pyrexia. The most common laboratory abnormalities (≥20%) were increased creatinine, increased glucose, increased ALT, decreased hemoglobin, increased AST, increased bilirubin, increased alkaline phosphatase, decreased lymphocytes, decreased albumin, decreased leukocytes, and decreased sodium.
The recommended tucatinib dose is 300 mg taken orally twice daily in combination with trastuzumab until disease progression or unacceptable toxicity.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application review is ongoing at the other regulatory agency.
This review used the Assessment Aid, a voluntary submission from the applicant to facilitate the FDA’s assessment.
This application was granted priority review and breakthrough therapy designation. FDA expedited programs are described in the Guidance for Industry: Expedited Programs for Serious Conditions-Drugs and Biologics. Tukysa was granted orphan drug designation for the treatment of HER2+ colorectal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01/19/2023
Regulated Product(s)
Drugs</t>
  </si>
  <si>
    <t xml:space="preserve">ID_168</t>
  </si>
  <si>
    <t xml:space="preserve">FDA approves tremelimumab in combination with durvalumab and platinum-based chemotherapy for metastatic non-small cell lung cancer</t>
  </si>
  <si>
    <t xml:space="preserve">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</si>
  <si>
    <t xml:space="preserve">https://www.fda.gov/drugs/resources-information-approved-drugs/fda-approves-tremelimumab-combination-durvalumab-and-platinum-based-chemotherapy-metastatic-non</t>
  </si>
  <si>
    <t xml:space="preserve">2022-11-10</t>
  </si>
  <si>
    <t xml:space="preserve">FDA approves tremelimumab in combination with durvalumab and platinum-based chemotherapy for metastatic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
Efficacy was evaluated in POSEIDON (NCT03164616), a randomized (1:1:1), multicenter, active-controlled, open-label study in patients with metastatic NSCLC who had not received prior systemic treatment. Patients were randomized to one of three treatment arms: (1) tremelimumab, durvalumab, and platinum-based chemotherapy for 4 cycles, followed by durvalumab and maintenance chemotherapy every 4 weeks. Patients were treated with a fifth tremelimumab dose at week 16; (2) durvalumab plus platinum-based chemotherapy for 4 cycles followed by durvalumab and maintenance chemotherapy; or (3) platinum-based chemotherapy for 6 cycles followed by maintenance chemotherapy.
Treatment was continued until disease progression or unacceptable toxicity. This approval is based on a comparison of treatment arm 1 and 3 (675 patients).
The major efficacy outcome measures were progression-free survival (PFS) assessed using blinded independent central review according to RECIST v1.1. and overall survival (OS). Tremelimumab plus durvalumab and platinum-based chemotherapy demonstrated a statistically significant and clinically meaningful improvement in OS compared to platinum-based chemotherapy (hazard ratio [HR] of 0.77 [95% CI: 0.65, 0.92], 2-sided p-value = 0.00304); median OS was 14 months (95% CI: 11.7, 16.1) and 11.7 months (95% CI: 10.5, 13.1) in the treatment arm 1 and 3, respectively. Median PFS was 6.2 months (95% CI: 5.0, 6.5) and 4.8 months (95% CI 4.6, 5.8) in the treatment arms, respectively (HR 0.72 [95% CI: 0.60, 0.86], 2-sided p-value = 0.00031).
Overall response rate was 39% (95% CI: 34,44) and 24% (95% CI: 20, 29) in the treatment arm 1 and 3, respectively. Median duration of response was 9.5 months (95% CI: 7.2, not reached) and 5.1 months (95% CI: 4.4, 6.0) in the two treatment arms.
The most common adverse reactions (occurring in ≥ 20% of patients) were nausea, fatigue, decreased appetite, musculoskeletal pain, rash, and diarrhea. Grade 3 or 4 laboratory abnormalities (≥ 10%) were neutropenia, anemia, leukopenia, lymphocytopenia, lipase increased, hyponatremia, and thrombocytopenia.
The recommended tremelimumab dose for patients weighing 30 kg or more is 75 mg IV every 3 weeks with durvalumab 1500 mg IV and platinum-based chemotherapy for 4 cycles, then durvalumab 1500 mg with maintenance chemotherapy every 4 weeks. A fifth tremelimumab dose (75 mg) should be given at week 16.
Using the above schedule, for patients weighing 30 kg or less, the recommended tremelimumab dose is 1 mg/kg and the durvalumab dose is 20 mg/kg.
View full prescribing information for Imjudo and Imfinzi.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11/18/2022
Regulated Product(s)
Drugs</t>
  </si>
  <si>
    <t xml:space="preserve">ID_169</t>
  </si>
  <si>
    <t xml:space="preserve">FDA approves brentuximab vedotin in combination with chemotherapy for pediatric patients with classical Hodgkin lymphoma</t>
  </si>
  <si>
    <t xml:space="preserve">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</si>
  <si>
    <t xml:space="preserve">https://www.fda.gov/drugs/resources-information-approved-drugs/fda-approves-brentuximab-vedotin-combination-chemotherapy-pediatric-patients-classical-hodgkin</t>
  </si>
  <si>
    <t xml:space="preserve">FDA approves brentuximab vedotin in combination with chemotherapy for pediatric patients with classical Hodgkin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
Efficacy was evaluated in a randomized, open-label, actively controlled trial. High risk was identified as Ann Arbor Stage IIB with bulk disease, Stage IIIB, Stage IVA, and Stage IVB. Of the 600 total patients randomized, 300 were randomized to brentuximab vedotin plus doxorubicin (A), vincristine (V), etoposide (E), prednisone (P), and cyclophosphamide (C) [brentuximab vedotin + AVEPC], and 300 patients were randomized to A+bleomycin (B)+V+E+P+C [ABVE-PC] arm. Patients in each treatment arm received up to 5 cycles of the following:
Brentuximab vedotin + AVEPC arm: brentuximab vedotin 1.8 mg/kg over 30 minutes (day 1), doxorubicin 25 mg/m2 (days 1 and 2), vincristine 1.4 mg/m2 (day 8), etoposide 125 mg/m2(days 1-3), prednisone 20 mg/m2 BID (days 1-7), cyclophosphamide 600 mg/m2 (days 1 and 2); or
ABVE-PC arm: doxorubicin 25 mg/m2 (days 1 and 2), bleomycin 5 units/m2 (day1) and 10 units/m2 (day 8), vincristine 1.4 mg/m2 (days 1 and 8), etoposide 125 mg/m2 (days 1-3), prednisone 20 mg/m2 BID (days 1-7), cyclophosphamide 600 mg/m2 (days 1 and 2).
The main efficacy outcome measure was event-free survival (EFS), defined as the time from randomization to the earliest of disease progression or relapse, second malignancy, or death due to any cause. Median EFS was not reached in either arm. There were 23 events (8%) in the brentuximab vedotin + AVEPC arm and 52 events (17%) in the ABVE-PC arm with a corresponding hazard ratio of 0.41 (95% CI: 0.25, 0.67; p=0.0002).
The most common Grade ≥3 adverse reactions (≥5%) in pediatric patients treated with brentuximab vedotin in combination with AVEPC were neutropenia, anemia, thrombocytopenia, febrile neutropenia, stomatitis, and infection.
The recommended brentuximab vedotin dose for pediatric patients 2 years of age and older is 1.8 mg/kg up to a maximum of 180 mg in combination with AVEPC every 3 weeks for a maximum of 5 doses.
View full prescribing information for Adcetris.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Brentuximab vedotin has orphan drug designation for the treatment of Hodgkin lymphoma.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11/10/2022
Regulated Product(s)
Drugs</t>
  </si>
  <si>
    <t xml:space="preserve">ID_170</t>
  </si>
  <si>
    <t xml:space="preserve">FDA approves cemiplimab-rwlc in combination with platinum-based chemotherapy for non-small cell lung cancer</t>
  </si>
  <si>
    <t xml:space="preserve">On November 8, 2022, the Food and Drug Administration approved cemiplimab-rwlc (Libtayo, Regeneron Pharmaceuticals, Inc.) in combination with platinum-based chemotherapy for adult patients with advanced non-small cell lung cancer (NSCLC) with no EGFR, ALK, or ROS1 aberrations.</t>
  </si>
  <si>
    <t xml:space="preserve">https://www.fda.gov/drugs/resources-information-approved-drugs/fda-approves-cemiplimab-rwlc-combination-platinum-based-chemotherapy-non-small-cell-lung-cancer</t>
  </si>
  <si>
    <t xml:space="preserve">2022-11-08</t>
  </si>
  <si>
    <t xml:space="preserve">FDA approves cemiplimab-rwlc in combination with platinum-based chemotherapy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8, 2022, the Food and Drug Administration approved cemiplimab-rwlc (Libtayo, Regeneron Pharmaceuticals, Inc.) in combination with platinum-based chemotherapy for adult patients with advanced non-small cell lung cancer (NSCLC) with no EGFR, ALK, or ROS1 aberrations.
Efficacy was evaluated in Study 16113 (NCT03409614), a randomized, multicenter, multinational, double-blind, active-controlled trial in 466 patients with advanced NSCLC who had not received prior systemic treatment. Patients were randomized (2:1) to either cemiplimab-rwlc plus platinum-based chemotherapy every 3 weeks for 4 cycles followed by cemiplimab-rwlc and maintenance chemotherapy or placebo plus platinum-based chemotherapy every 3 weeks for 4 cycles followed by placebo and maintenance chemotherapy.
The main efficacy outcome measure was overall survival (OS). Additional efficacy outcome measures were progression-free survival (PFS) and overall response rate (ORR) as assessed by blinded independent central review (BICR).
Cemiplimab-rwlc plus platinum-based chemotherapy demonstrated a statistically significant and clinically meaningful improvement in OS compared to placebo plus chemotherapy (hazard ratio [HR] of 0.71 [95% CI: 0.53, 0.93], two-sided p-value = 0.0140). Median OS was 21.9 months (95% CI: 15.5, not evaluable) in the cemiplimab-rwlc plus chemotherapy arm and 13.0 months (95% CI: 11.9, 16.1) in the placebo plus chemotherapy arm. Median PFS per BICR was 8.2 months (95% CI: 6.4, 9.3) in the cemiplimab-rwlc plus chemotherapy arm and 5.0 months (95% CI: 4.3, 6.2) in the placebo plus chemotherapy arm (HR 0.56; 95% CI: 0.44, 0.70, p&lt;0.0001). Confirmed ORR per BICR was 43% (95% CI: 38, 49) and 23% (95% CI: 16, 30) in the respective treatments.
The most common (≥15%) adverse reactions were alopecia, musculoskeletal pain, nausea, fatigue, peripheral neuropathy, and decreased appetite.
The recommended cemiplimab-rwlc dose is 350 mg IV every 3 weeks. Refer to the prescribing information for the agents administered in combination with cemiplimab-rwlc for recommended dosing information, as appropriate.
View full prescribing information for Libtayo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11/08/2022
Regulated Product(s)
Drugs</t>
  </si>
  <si>
    <t xml:space="preserve">ID_172</t>
  </si>
  <si>
    <t xml:space="preserve">FDA approves tremelimumab in combination with durvalumab for unresectable hepatocellular carcinoma</t>
  </si>
  <si>
    <t xml:space="preserve">On October 21, 2022, the Food and Drug Administration approved tremelimumab (Imjudo, AstraZeneca Pharmaceuticals) in combination with durvalumab for adult patients with unresectable hepatocellular carcinoma (uHCC).</t>
  </si>
  <si>
    <t xml:space="preserve">https://www.fda.gov/drugs/resources-information-approved-drugs/fda-approves-tremelimumab-combination-durvalumab-unresectable-hepatocellular-carcinoma</t>
  </si>
  <si>
    <t xml:space="preserve">2022-10-21</t>
  </si>
  <si>
    <t xml:space="preserve">FDA approves tremelimumab in combination with durvalumab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21, 2022, the Food and Drug Administration approved tremelimumab (Imjudo, AstraZeneca Pharmaceuticals) in combination with durvalumab for adult patients with unresectable hepatocellular carcinoma (uHCC).
Efficacy was evaluated in HIMALAYA (NCT03298451), a randomized (1:1:1), open-label, multicenter study in patients with confirmed uHCC who had not received prior systemic treatment for HCC. Patients were randomized to one of three arms: tremelimumab 300 mg as a one-time single intravenous (IV) infusion plus durvalumab 1500 mg IV on the same day, followed by durvalumab 1500 mg IV every 4 weeks; durvalumab 1500 mg IV every 4 weeks; or sorafenib 400 mg orally twice daily until disease progression or unacceptable toxicity. This approval is based on a comparison of the 782 patients randomized to tremelimumab plus durvalumab to sorafenib.
The major efficacy outcome was overall survival (OS). Tremelimumab plus durvalumab demonstrated a statistically significant and clinically meaningful improvement in OS compared to sorafenib (stratified hazard ratio [HR] of 0.78 [95% CI: 0.66, 0.92], 2-sided p value = 0.0035); median OS was 16.4 months (95% CI: 14.2, 19.6) versus 13.8 months (95% CI: 12.3, 16.1). Additional efficacy outcomes included investigator-assessed progression-free survival (PFS) and overall response rate (ORR) according to RECIST v1.1. Median PFS was 3.8 months (95% CI: 3.7, 5.3) and 4.1 months (95% CI: 3.7, 5.5) for the tremelimumab plus durvalumab and sorafenib arms, respectively (stratified HR 0.90; 95% CI: 0.77, 1.05). ORR was 20.1% (95% CI: 16.3, 24.4) in the tremelimumab plus durvalumab arm and 5.1% (95% CI: 3.2, 7.8) for those treated with sorafenib.
The most common (≥20%) adverse reactions occurring in patients were rash, diarrhea, fatigue, pruritis, musculoskeletal pain and abdominal pain.
The recommended tremelimumab dose for patients weighing 30 kg or more is 300 mg IV as a single dose in combination with durvalumab 1500 mg at Cycle 1/Day 1, followed by durvalumab 1500 mg IV every 4 weeks. For those weighing less than 30 kg, the recommended tremelimumab dose is 4 mg/kg IV as a single dose in combination with durvalumab 20 mg/kg IV, followed by durvalumab 20 mg/kg IV every 4 weeks.
View full prescribing information for Imjudo.
This review used the Assessment Aid, a voluntary submission from the applicant to facilitate the FDA’s assessment.
Tremelimumab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10/24/2022
Regulated Product(s)
Drugs</t>
  </si>
  <si>
    <t xml:space="preserve">ID_177</t>
  </si>
  <si>
    <t xml:space="preserve">FDA approves durvalumab for locally advanced or metastatic biliary tract cancer</t>
  </si>
  <si>
    <t xml:space="preserve">On September 2, 2022, the Food and Drug Administration approved durvalumab (Imfinzi, AstraZeneca UK Limited) in combination with gemcitabine and cisplatin for adult patients with locally advanced or metastatic biliary tract cancer (BTC).</t>
  </si>
  <si>
    <t xml:space="preserve">https://www.fda.gov/drugs/resources-information-approved-drugs/fda-approves-durvalumab-locally-advanced-or-metastatic-biliary-tract-cancer</t>
  </si>
  <si>
    <t xml:space="preserve">2022-09-02</t>
  </si>
  <si>
    <t xml:space="preserve">FDA approves durvalumab for locally advanced or metastatic biliary tract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2, 2022, the Food and Drug Administration approved durvalumab (Imfinzi, AstraZeneca UK Limited) in combination with gemcitabine and cisplatin for adult patients with locally advanced or metastatic biliary tract cancer (BTC).
Efficacy was evaluated in TOPAZ-1 (NCT03875235), a randomized, double-blind, placebo-controlled, multiregional trial that enrolled 685 patients with histologically confirmed locally advanced unresectable or metastatic BTC who had not previously received systemic therapy for advanced disease.
Trial demographics were as follows: 56% Asian, 37% White, 2% Black, and 4% other race; 7% Hispanic or Latino; 50% male and 50% female; median age was 64 years (range 20-85) and 47% were 65 years or older. Fifty-six percent had intrahepatic cholangiocarcinoma, 25% had gallbladder cancer, and 19% had extrahepatic cholangiocarcinoma.
Patients were randomized 1:1 to receive:
durvalumab 1,500 mg on Day 1+ gemcitabine 1,000 mg/m2 and cisplatin 25 mg/m2 on Days 1 and 8 of each 21-day cycle up to 8 cycles, followed by durvalumab 1,500 mg every 4 weeks, or
placebo on Day 1+ gemcitabine 1,000 mg/m2 and cisplatin 25 mg/m2 on Days 1 and 8 of each 21-day cycle up to 8 cycles, followed by placebo every 4 weeks.
Durvalumab or placebo were continued until disease progression or unacceptable toxicity. Treatment was permitted beyond disease progression if the patient was clinically stable and deriving clinical benefit, as determined by the investigator.
The major efficacy outcome measure was overall survival (OS). Tumor assessments were conducted every 6 weeks for the first 24 weeks, then every 8 weeks until confirmed objective disease progression. A statistically significant improvement in OS was demonstrated in patients randomized to receive durvalumab with gemcitabine and cisplatin compared to those randomized to receive placebo with gemcitabine and cisplatin. Median OS was 12.8 months (95% CI: 11.1, 14) and 11.5 months (95% CI: 10.1, 12.5) in the durvalumab and placebo arms, respectively (hazard ratio 0.80; 95% CI: 0.66, 0.97, p=0.021). The median progression-free survival was 7.2 months (95% CI: 6.7, 7.4) and 5.7 months (95% CI: 5.6, 6.7) in the durvalumab and placebo arms, respectively. Investigator-assessed overall response rate was 27% (95% CI: 22% - 32%) and 19% (95% CI: 15%-23%) in the durvalumab and placebo arms, respectively.
The most common (≥20%) adverse reactions occurring in patients were fatigue, nausea, constipation, decreased appetite, abdominal pain, rash, and pyrexia.
The recommended durvalumab dose is 1,500 mg every 3 weeks for patients with a body weight ≥30 kg when given with gemcitabine and cisplatin, followed by 1,500 mg every 4 weeks as a single agent until disease progression or unacceptable toxicity. For patients with a body weight &lt;30 kg, the recommended dose is 20 mg/kg every 3 weeks with gemcitabine and cisplatin followed by 20 mg/kg every 4 weeks until disease progression or unacceptable toxicity.
View full prescribing information for Imfinzi.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Singapore’s Health Sciences Authority (HSA), and Switzerland’s Swissmedic. The application reviews may be ongoing at the other regulatory agencies.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The application also was granted orphan drug designation.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09/02/2022
Regulated Product(s)
Drugs</t>
  </si>
  <si>
    <t xml:space="preserve">ID_182</t>
  </si>
  <si>
    <t xml:space="preserve">FDA approves darolutamide tablets for metastatic hormone-sensitive prostate cancer</t>
  </si>
  <si>
    <t xml:space="preserve">On August 5, 2022, the Food and Drug Administration approved darolutamide (Nubeqa, Bayer HealthCare Pharmaceuticals Inc.) tablets in combination with docetaxel for adult patients with metastatic hormone-sensitive prostate cancer (mHSPC).</t>
  </si>
  <si>
    <t xml:space="preserve">https://www.fda.gov/drugs/resources-information-approved-drugs/fda-approves-darolutamide-tablets-metastatic-hormone-sensitive-prostate-cancer</t>
  </si>
  <si>
    <t xml:space="preserve">2022-08-05</t>
  </si>
  <si>
    <t xml:space="preserve">FDA approves darolutamide tablets for metastatic hormone-sensitive prostate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5, 2022, the Food and Drug Administration approved darolutamide (Nubeqa, Bayer HealthCare Pharmaceuticals Inc.) tablets in combination with docetaxel for adult patients with metastatic hormone-sensitive prostate cancer (mHSPC).
Efficacy was based on ARASENS (NCT02799602), a randomized, multicenter, double-blind, placebo-controlled clinical trial in 1306 patients with mHSPC. Patients were randomized to receive either darolutamide 600 mg orally twice daily plus docetaxel 75 mg/m2 intravenously administered every 3 weeks for up to 6 cycles or docetaxel plus placebo. All patients received a gonadotropin-releasing hormone analog concurrently or had a bilateral orchiectomy.
The primary efficacy measure was overall survival (OS). Time-to-pain progression was an additional efficacy measure. Median OS was not reached (NR) (95% CI: NR, NR) in the darolutamide plus docetaxel arm and 48.9 months (95% CI: 44.4, NR) in docetaxel plus placebo arm (HR 0.68; 95% CI: 0.57, 0.80; p&lt;0.0001). Treatment with darolutamide and docetaxel resulted in a statistically significant delay in time-to-pain progression (HR 0.79; 95% CI: 0.66, 0.95; 1-sided p=0.006).
The median age of patients was 67 years (41 to 89) and 17% were 75 years or older. Selected demographics were reported as follows: 52% White, 36% Asian, 4% Black or African American, 7% Hispanic/Latino. Three percent of patients had M1a disease (spread to distant lymph nodes), 83% had M1b (spread to bones), and 14% had M1c (spread to organs).
The most common adverse reactions experienced by patients (incidence ≥10% with a ≥2% increase over placebo with docetaxel) were constipation, decreased appetite, rash, hemorrhage, increased weight, and hypertension. The most common laboratory test abnormalities (≥30%) were anemia, hyperglycemia, decreased lymphocyte count, decreased neutrophil count, increased AST, increased ALT, and hypocalcemia.
The recommended darolutamide dose for mHSPC is 600 mg (two 300 mg tablets) taken orally, twice daily, with food until unacceptable toxicity or disease progression. Docetaxel, 75 mg/m2 intravenously is administered every 3 weeks for up to 6 cycles. The first dose of docetaxel should be administered within 6 weeks after the start of darolutamide treatment.
View full prescribing information for Nubeqa.
This review was conducted under Project Orbis, an initiative of the FDA Oncology Center of Excellence. Project Orbis provides a framework for concurrent submission and review of oncology drugs among international partners. For this review, FDA collaborated with Health Canada, the Singapore Health Sciences Authority, Switzerland’s Swissmedic, the United Kingdom’s Medicines and Healthcare products Regulatory Authority, and Australia’s Therapeutic Goods Administration.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one month ahead of the FDA goal date.
This application was granted priority review. A description of FDA expedited programs can be found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08/05/2022</t>
  </si>
  <si>
    <t xml:space="preserve">ID_186</t>
  </si>
  <si>
    <t xml:space="preserve">FDA grants accelerated approval to dabrafenib in combination with trametinib for unresectable or metastatic solid tumors with BRAF V600E mutation</t>
  </si>
  <si>
    <t xml:space="preserve">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</si>
  <si>
    <t xml:space="preserve">https://www.fda.gov/drugs/resources-information-approved-drugs/fda-grants-accelerated-approval-dabrafenib-combination-trametinib-unresectable-or-metastatic-solid</t>
  </si>
  <si>
    <t xml:space="preserve">2022-06-22</t>
  </si>
  <si>
    <t xml:space="preserve">FDA grants accelerated approval to dabrafenib in combination with trametinib for unresectable or metastatic solid tumors with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 Dabrafenib in combination with trametinib is not indicated for patients with colorectal cancer because of known intrinsic resistance to BRAF inhibition. Dabrafenib is not indicated for patients with wild-type BRAF solid tumors.
The safety and efficacy were evaluated in 131 adult patients from open-label, multiple cohort trials BRF117019 (NCT02034110) and NCI-MATCH (NCT02465060), 36 pediatric patients from CTMT212X2101 (NCT02124772), and supported by results in COMBI-d, COMBI-v, and BRF113928 (studies in melanoma and lung cancer already described in product labeling). Study BRF117019 enrolled patients with BRAF V600E mutation positive specific solid tumors including high grade glioma (HGG), biliary tract cancer, low grade glioma (LGG), adenocarcinoma of small intestine, gastrointestinal stromal tumor, and anaplastic thyroid cancer (ATC). NCI-MATCH Subprotocol H enrolled adult patients with BRAF V600E mutation positive solid tumors except patients with melanoma, thyroid cancer, or CRC. Parts C and D of Study CTMT212X2101 enrolled 36 pediatric patients with BRAF V600 refractory or recurrent LGG or HGG. The major efficacy outcome measure of these studies was overall response rate (ORR) using standard response criteria. For the 131 adult patients, a total of 54 (41%, 95% CI: 33, 50) experienced an objective response. The studies enrolled patients with 24 tumor types, including different subtypes of LGG and HGG. Among the highest representative tumor types, ORR was 46% (95% CI: 31, 61) for biliary tract cancer, 33% (95% CI: 20, 48) for high grade glioma (combined) and 50% (95% CI: 23, 77) for low grade glioma (combined). For the 36 pediatric patients, the ORR was 25% (95% CI: 12, 42); DOR was ≥6 months for 78% of patients and ≥24 months for 44% of patients.
The most common (≥20%) adverse reactions in adult patients were pyrexia, fatigue, nausea, rash, chills, headache, hemorrhage, cough, vomiting, constipation, diarrhea, myalgia, arthralgia, and edema.
The most common (≥20%) adverse reactions in pediatric patients were pyrexia, rash, vomiting, fatigue, dry skin, cough, diarrhea, dermatitis acneiform, headache, abdominal pain, nausea, hemorrhage, constipation, and paronychia.
The recommended dabrafenib dose in adult patients is 150 mg (two 75 mg capsules) orally twice daily in combination with trametinib 2 mg orally once daily. The recommended doses for dabrafenib and trametinib in pediatric patients are based on body weight. A recommended dose has not been established in patients who weigh less than 26 kg.
View full prescribing information for Tafinlar and Mekinist
This review used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06/23/2022
Regulated Product(s)
Drugs</t>
  </si>
  <si>
    <t xml:space="preserve">ID_188</t>
  </si>
  <si>
    <t xml:space="preserve">FDA approves Opdivo in combination with chemotherapy and Opdivo in combination with Yervoy for first-line esophageal squamous cell carcinoma indications</t>
  </si>
  <si>
    <t xml:space="preserve">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</si>
  <si>
    <t xml:space="preserve">https://www.fda.gov/drugs/resources-information-approved-drugs/fda-approves-opdivo-combination-chemotherapy-and-opdivo-combination-yervoy-first-line-esophageal</t>
  </si>
  <si>
    <t xml:space="preserve">2022-05-27</t>
  </si>
  <si>
    <t xml:space="preserve">FDA approves Opdivo in combination with chemotherapy and Opdivo in combination with Yervoy for first-line esophageal squamous cell carcinoma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
Efficacy was evaluated in CHECKMATE-648 (NCT03143153), a randomized, active-controlled, open-label trial in 970 patients with previously untreated unresectable advanced, recurrent or metastatic ESCC. Prior treatment with curative intent was allowed if completed more than six months before trial enrolment. The trial excluded patients with brain metastasis that were symptomatic, active autoimmune disease, receiving systemic corticosteroids or immunosuppressants, or patients at high risk of bleeding or fistula due to apparent invasion of tumor to organs adjacent to the esophageal tumor. Patients were randomly allocated (1:1:1) to receive one of the following treatments:
nivolumab 240 mg on days 1 and 15, fluorouracil 800 mg/m2/day intravenously on days 1 through 5 (for 5 days), and cisplatin 80 mg/m2 intravenously on day 1 (of a 4-week cycle).
nivolumab 3 mg/kg every 2 weeks in combination with ipilimumab 1 mg/kg every 6 weeks.
fluorouracil 800 mg/m2/day intravenously on days 1 through 5 (for 5 days), and cisplatin 80 mg/m2 intravenously on day 1 (of a 4-week cycle).
The major efficacy outcome measures were overall survival (OS) and blinded independent central review (BICR)-assessed progression-free survival (PFS). CHECKMATE-648 demonstrated statistically significant improvements in OS in all randomized patients and in the subpopulation with tumor cell (TC) PD-L1 ≥1% for both nivolumab-containing regimens when individually compared to chemotherapy.
In the ITT population (all patients randomized) OS results revealed:
The HR of the comparison nivolumab, fluorouracil, and cisplatin vs. chemotherapy was 0.74 (95% CI 0.61, 0.90; p=0.0021).
The HR of the comparison of nivolumab and ipilimumab vs. chemotherapy was 0.78 (95% CI 0.65, 0.95; p=0.0110).
In the ITT population, the median OS was 13.2 months (95% CI: 11.1, 15.7) in the nivolumab, fluorouracil, and cisplatin arm, 12.8 months (95% CI: 11.3, 15.5) in the nivolumab and ipilimumab arm, and 10.7 months (95% CI: 9.4, 11.9) in the fluorouracil and cisplatin arm.
In the TC PD-L1 ≥1% population OS results revealed:
The HR for the comparison nivolumab, fluorouracil, and cisplatin vs. chemotherapy alone was 0.54 (95% CI: 0.41, 0.71; p&lt;0.0001).
The HR of the comparison of nivolumab and ipilimumab vs. chemotherapy was 0.64 (95% CI: 0.49, 0.84; p=0.0010).
The most common adverse reactions (≥20%) occurring in patients treated with nivolumab and fluoropyrimidine- and platinum-containing chemotherapy in CHECKMATE-648 were nausea, decreased appetite, fatigue, constipation, stomatitis, diarrhea, and vomiting. The most common adverse reactions (≥20%) occurring in patients treated with nivolumab and ipilimumab in CHECKMATE-648 were rash, fatigue, pyrexia, nausea, diarrhea, and constipation.
The recommended nivolumab dose is:
240 mg every 2 weeks or 480 mg every 4 weeks in combination with fluoropyrimidine- and platinum-containing chemotherapy, or
3 mg/kg every 2 weeks or 360 mg every 3 weeks with ipilimumab 1 mg/kg every 6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Health Canada, Israel’s Ministry of Health Pharmaceutical Administration,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Nivolumab was granted orphan drug designation for esophageal cancer.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05/31/2022
Regulated Product(s)
Drugs</t>
  </si>
  <si>
    <t xml:space="preserve">ID_189</t>
  </si>
  <si>
    <t xml:space="preserve">FDA approves ivosidenib in combination with azacitidine for newly diagnosed acute myeloid leukemia</t>
  </si>
  <si>
    <t xml:space="preserve">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</si>
  <si>
    <t xml:space="preserve">https://www.fda.gov/drugs/resources-information-approved-drugs/fda-approves-ivosidenib-combination-azacitidine-newly-diagnosed-acute-myeloid-leukemia</t>
  </si>
  <si>
    <t xml:space="preserve">2022-05-25</t>
  </si>
  <si>
    <t xml:space="preserve">FDA approves ivosidenib in combination with azacitidine for newly diagnosed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25, 2022, the Food and Drug Administration approved ivosidenib (Tibsovo, Servier Pharmaceuticals LLC) in combination with azacitidine (azacitidine for injection) for newly diagnosed acute myeloid leukemia (AML) with a susceptible IDH1 mutation, as detected by an FDA-approved test in adults 75 years or older, or who have comorbidities that preclude use of intensive induction chemotherapy.
Approval was based on a randomized, multicenter, double-blind, placebo-controlled study (AG120-C-009, NCT03173248) that included 146 patients with newly-diagnosed AML with an IDH1 mutation who met at least one of the following criteria: age 75 years or older, baseline Eastern Cooperative Oncology Group performance status of 2, severe cardiac or pulmonary disease, hepatic impairment with bilirubin &gt; 1.5 times the upper limit of normal, creatinine clearance &lt; 45 mL/min, or other comorbidity. Patients were randomized 1:1 to receive ivosidenib, 500 mg daily (N=72), or matched placebo orally once daily (N=74), on Days 1-28 in combination with azacitidine 75 mg/m2/day subcutaneously or intravenously on Days 1-7 or Days 1-5 and 8-9 of each 28-day cycle until disease progression, unacceptable toxicity, or hematopoietic stem cell transplantation.
Tibsovo is approved in combination with azacitidine for injection, not Onureg (azacitidine tablets). Onureg should not be substituted for intravenous or subcutaneous azacitidine. The indications and dosing regimen for Onureg are different from that of intravenous or subcutaneous azacitidine. 
Efficacy was established based on improvements in event-free-survival (EFS), overall survival (OS), and rate and duration of complete remission (CR). EFS was defined as the time from randomization until treatment failure, relapse from remission, or death from any cause, whichever occurred first. Treatment failure was defined as failure to achieve CR by 24 weeks. EFS events occurred in 65% of patients on the ivosidenib plus azacitidine arm and 84% on the placebo plus azacitidine arm (HR 0.35; 95% CI: 0.17, 0.72, p=0.0038). Median OS was 24.0 months (95% CI: 11.3, 34.1) in the ivosidenib plus azacitidine arm and 7.9 months (95% CI: 4.1, 11.3) in the placebo plus azacitidine arm (HR 0.44; 95% CI: 0.27, 0.73; p=0.0010). CR was 47% (95% CI: 35%, 59%) in the ivosidenib plus azacitidine arm and 15% (95% CI: 8%, 25%) in the placebo plus azacitidine arm. Median duration of CR was not estimable (NE) in the ivosidenib plus azacitidine arm (95% CI: 13.0, NE) and 11.2 months (95% CI: 3.2, NE) in the placebo plus azacitidine arm.
The most common adverse reactions of ivosidenib in combination with azacitidine or as monotherapy (≥ 25% in any trial) were diarrhea, fatigue, edema, nausea, vomiting, decreased appetite, leukocytosis, arthralgia, dyspnea, abdominal pain, mucositis, rash, electrocardiogram QT prolonged, differentiation syndrome, and myalgia. Prescribing information contains a Boxed Warning alerting health care professionals and patients about the risk of differentiation syndrome which may be life-threatening or fatal.
The recommended ivosidenib dose is 500 mg taken orally once daily with or without food until disease progression or unacceptable toxicity. Start ivosidenib administration on Cycle 1 Day 1 in combination with azacitidine 75 mg/m2 subcutaneously or intravenously once daily on Days 1-7 (or Days 1-5 and 8-9) of each 28-day cycle. For patients without disease progression or unacceptable toxicity, treatment is recommended for a minimum of 6 months to allow time for clinical response.
View full prescribing information for Tibsovo.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about 6 weeks ahead of the FDA goal date.
This application was granted priority review and breakthrough designation. A description of FDA expedited programs is in the Guidance for Industry: Expedited Programs for Serious Conditions-Drugs and Biologics. Ivosidenib also received orphan drug designation for AML on June 9, 2015.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08/01/2022</t>
  </si>
  <si>
    <t xml:space="preserve">ID_196</t>
  </si>
  <si>
    <t xml:space="preserve">FDA approves Opdualag for unresectable or metastatic melanoma</t>
  </si>
  <si>
    <t xml:space="preserve">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</si>
  <si>
    <t xml:space="preserve">https://www.fda.gov/drugs/resources-information-approved-drugs/fda-approves-opdualag-unresectable-or-metastatic-melanoma</t>
  </si>
  <si>
    <t xml:space="preserve">2022-03-18</t>
  </si>
  <si>
    <t xml:space="preserve">FDA approves Opdualag for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
Efficacy was evaluated in RELATIVITY-047 (NCT03470922), a randomized (1:1), double-blinded trial in 714 patients with previously untreated metastatic or unresectable Stage III or IV melanoma. The trial excluded patients with active autoimmune disease, medical conditions requiring systemic treatment with moderate or high dose corticosteroids or immunosuppressive medications, uveal melanoma, and active or untreated brain or leptomeningeal metastases. Patients were randomized to receive Opdualag (nivolumab 480 mg and relatlimab 160 mg) by intravenous infusion every 4 weeks or nivolumab 480 mg by intravenous infusion every 4 weeks until disease progression or unacceptable toxicity.
The major efficacy outcome measure was progression-free survival (PFS) determined by Blinded Independent Central Review (BICR) using RECIST v1.1. The trial demonstrated a statistically significant improvement in PFS by BICR for Opdualag compared to nivolumab (HR=0.75; 95% confidence interval [CI]: 0.62, 0.92; p-value=0.0055). Median PFS was 10.1 months (95% CI: 6.4, 15.7) in the Opdualag arm and 4.6 months (95% CI: 3.4, 5.6) in the nivolumab arm. An additional efficacy outcome measure was overall survival (OS). The final analysis of OS was not statistically significant (HR=0.80; 95% CI: 0.64, 1.01) with median OS not reached (NR) in the Opdualag arm (95% CI: 34.2, NR) and 34.1 months (95% CI: 25.2, NR) in the nivolumab arm.
The most common adverse reactions (≥20%) of Opdualag, were musculoskeletal pain, fatigue, rash, pruritus, and diarrhea. The most common laboratory abnormalities (≥20%) were decreased hemoglobin, decreased lymphocytes, increased AST, increased ALT, and decreased sodium.
The recommended Opdualag dose for adult and pediatric patients 12 years of age or older who weigh at least 40 kg is 480 mg nivolumab and 160 mg relatlimab administered intravenously every 4 weeks until disease progression or unacceptable toxicity occurs. The recommended dose for pediatric patients 12 years of age or older who weigh less than 40 kg has not been established.
View full prescribing information for Opdualag.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and Switzerland’s Swissmedic.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fast track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03/21/2022</t>
  </si>
  <si>
    <t xml:space="preserve">ID_198</t>
  </si>
  <si>
    <t xml:space="preserve">FDA approves neoadjuvant nivolumab and platinum-doublet chemotherapy for early-stage non-small cell lung cancer</t>
  </si>
  <si>
    <t xml:space="preserve">On March 4, 2022, the Food and Drug Administration approved nivolumab (Opdivo, Bristol-Myers Squibb Company) with platinum-doublet chemotherapy for adult patients with resectable non-small cell lung cancer (NSCLC) in the neoadjuvant setting.</t>
  </si>
  <si>
    <t xml:space="preserve">https://www.fda.gov/drugs/resources-information-approved-drugs/fda-approves-neoadjuvant-nivolumab-and-platinum-doublet-chemotherapy-early-stage-non-small-cell-lung</t>
  </si>
  <si>
    <t xml:space="preserve">2022-03-04</t>
  </si>
  <si>
    <t xml:space="preserve">FDA approves neoadjuvant nivolumab and platinum-doublet chemotherapy for early-stage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4, 2022, the Food and Drug Administration approved nivolumab (Opdivo, Bristol-Myers Squibb Company) with platinum-doublet chemotherapy for adult patients with resectable non-small cell lung cancer (NSCLC) in the neoadjuvant setting.
This represents the first FDA approval for neoadjuvant therapy for early-stage NSCLC.
Efficacy was evaluated in CHECKMATE-816 (NCT02998528), a randomized, open label trial in patients with resectable, histologically confirmed Stage IB (≥4 cm), II, or IIIA NSCLC (AJCC/UICC staging criteria) and measurable disease (RECIST v1.1.). Patients were enrolled regardless of the tumor PD-L1 status. A total of 358 patients were randomized to receive either nivolumab plus platinum-doublet chemotherapy administered every 3 weeks for up to 3 cycles, or platinum-chemotherapy alone administered on the same schedule.
The main efficacy outcome measures were event-free survival (EFS) and pathologic complete response (pCR) by blinded independent central review. Median EFS was 31.6 months (95% CI: 30.2, not reached) in the nivolumab plus chemotherapy arm and 20.8 months (95% CI: 14.0, 26.7) for those receiving chemotherapy alone. The hazard ratio was 0.63 (97.38% CI: 0.43, 0.91; p=0.0052). The pCR rate was 24% (95% CI: 18.0, 31.0) in the nivolumab plus chemotherapy arm and 2.2% (95% CI: 0.6, 5.6) in the chemotherapy alone arm.
The most common adverse reactions (incidence ≥20%) occurring in patients were nausea, constipation, fatigue, decreased appetite, and rash. The addition of nivolumab to chemotherapy did not result in more frequent delays or cancellations of surgery. The median lengths of hospital stays following definitive surgery and the rates of adverse reactions identified as surgical complications were similar for patients in both arms of the trial.
The recommended nivolumab dose is 360 mg with platinum-doublet chemotherapy on the same day every 3 weeks for 3 cycles.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the United Kingdom’s Medicines and Healthcare products Regulatory Agency (MHRA). The application reviews may be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five months ahead of the FDA goal date.
This application was also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03/04/2022
Regulated Product(s)
Drugs</t>
  </si>
  <si>
    <t xml:space="preserve">ID_201</t>
  </si>
  <si>
    <t xml:space="preserve">FDA approves abatacept for prophylaxis of acute graft versus host disease </t>
  </si>
  <si>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</si>
  <si>
    <t xml:space="preserve">https://www.fda.gov/drugs/resources-information-approved-drugs/fda-approves-abatacept-prophylaxis-acute-graft-versus-host-disease</t>
  </si>
  <si>
    <t xml:space="preserve">2021-12-15</t>
  </si>
  <si>
    <t xml:space="preserve">FDA approves abatacept for prophylaxis of acute graft versus host disease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This is the first drug approved to prevent aGVHD. The application included use of real world data (RWD) in the determination of clinical effectiveness. RWD is clinical data routinely collected from a variety of sources, including registry data, to generate real world evidence (RWE). 
Efficacy was evaluated in two studies in patients six years and older undergoing HSCT from a matched or 1 allele-mismatched unrelated donor. 
GVHD-1 (NCT 01743131) was a randomized (1:1), double-blind, placebo-controlled clinical trial of patients who underwent an 8 of 8 Human Leukocyte Antigen (HLA)-matched HSCT and received abatacept or placebo in combination with a CNI and MTX. While severe (grade III-IV) aGVHD-free-survival assessed at Day 180 after transplantation was not significantly improved in patients who received Orencia compared to patients who received a placebo (HR 0.55; 95% CI 0.26, 1.18), the OS rate at Day 180 after HSCT was 97% (95% CI: 89%, 99%) for patients who received abatacept compared to 84% (95% CI: 73%, 91%) for patients who received a placebo (HR 0.33; 95% CI: 0.12, 0.93). The moderate-severe (grade II-IV) aGVHD-free survival rate at Day 180 after HSCT was 50% (95% CI: 38%, 61%) for patients who received abatacept compared to 32% (95% CI: 21%, 43%) for patients who received a placebo (HR 0.54; 95% CI: 0.35, 0.83). 
Additional evidence of effectiveness was provided by GVHD-2, a clinical study using data from the Center for International Blood and Marrow Transplant Research (CIBMTR) in patients who underwent a 7 of 8 HLA-matched HSCT between 2011 and 2018. This registry-based study analyzed outcomes of 54 patients treated with abatacept for the prophylaxis of aGVHD, in combination with a CNI and MTX, versus 162 patients randomly selected from the CIBMTR registry treated with a CNI and MTX alone. The OS rate at Day 180 after HSCT was 98% (95% CI: 78%, 100%) for patients who received abatacept in combination with CNI and MTX compared to 75% (95% CI: 67%, 82%) for patients who received CNI and MTX alone. 
The most common adverse reactions (≥10%) of abatacept for the prophylaxis of aGVHD are anemia, hypertension, CMV reactivation/CMV infection, pyrexia, pneumonia, epistaxis, CD4 lymphocytes decreased, hypermagnesemia and acute kidney injury. Patients who receive abatacept should receive antiviral prophylaxis for Epstein-Barr virus infection before starting treatment and for six months post-transplantation and be monitored for cytomegalovirus infection/reactivation for six months post-transplant. 
The recommended abatacept dose depends upon the age of the patient and is described in prescribing information. View full prescribing information for Orencia. 
This review was conducted under Project Orbis, an initiative of the FDA Oncology Center of Excellence. Project Orbis provides a framework for concurrent submission and review of oncology drugs among international partners. For this review, FDA collaborated with Health Canada, Switzerland’s Swissmedic, and Israel’s Ministry of Health. The application reviews are ongoing at the other regulatory agencies. 
This review used the Assessment Aid, a voluntary submission from the applicant to facilitate the FDA’s assessment. 
This application was granted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12/15/2021
Regulated Product(s)
Drugs</t>
  </si>
  <si>
    <t xml:space="preserve">ID_203</t>
  </si>
  <si>
    <t xml:space="preserve">FDA approves rituximab plus chemotherapy for pediatric cancer indications</t>
  </si>
  <si>
    <t xml:space="preserve">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</si>
  <si>
    <t xml:space="preserve">https://www.fda.gov/drugs/resources-information-approved-drugs/fda-approves-rituximab-plus-chemotherapy-pediatric-cancer-indications</t>
  </si>
  <si>
    <t xml:space="preserve">2021-12-02</t>
  </si>
  <si>
    <t xml:space="preserve">FDA approves rituximab plus chemotherapy for pediatric cancer indications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 
Efficacy was evaluated in Inter-B-NHL Ritux 2010 (NCT01516580), a global multicenter, open-label, randomized (1:1) trial of patients ≥ 6 months in age with previously untreated, advanced stage, CD20-positive DLBCL/BL/BLL/B-AL. Advanced stage was defined as Stage III with elevated lactose dehydrogenase (LDH) level (LDH greater than twice the institutional upper limit of normal values) or stage IV B-cell NHL or B-AL. Patients were randomized to Lymphome Malin B (LMB) chemotherapy (corticosteroids, vincristine, cyclophosphamide, high-dose methotrexate, cytarabine, doxorubicin, etoposide, and triple drug [methotrexate/cytarabine/corticosteroid] intrathecal therapy) alone or in combination with rituximab or non-U.S. licensed rituximab, administered as 6 infusions of rituximab IV at a dose of 375 mg/m2 (2 doses during each of the 2 induction courses and 1 during each of the 2 consolidation courses) as per the LMB scheme. 
The main efficacy outcome measure was event-free survival (EFS), defined as progressive disease, relapse, second malignancy, death from any cause, or non-response as evidenced by detection of viable cells in residue after the second CYVE (Cytarabine [Aracytine, Ara-C], Veposide [VP16]) course, whichever occurs first. A prespecified interim efficacy analysis at 53% information fraction was performed in 328 randomized patients with a median follow-up of 3.1 years. There were 28 EFS events in the LMB group and 10 in the rituximab-LMB group (HR 0.32; 90% CI: 0.17, 0.58; p=0.0012). At the time of the interim analysis, there were 20 deaths in the LMB chemotherapy arm compared to 8 deaths in the rituximab plus LMB chemotherapy arm, with an estimated overall survival HR of 0.36 (95% CI: 0.16, 0.81). No formal statistical test was conducted for overall survival (OS) and the OS result is considered descriptive. Randomization was discontinued after the interim analysis and an additional 122 patients received rituximab plus LMB chemotherapy and contributed to the safety analysis. 
Adverse reactions (grade 3 or higher, &gt;15%) occurring in pediatric patients treated with rituximab and chemotherapy were febrile neutropenia, stomatitis, enteritis, sepsis, increased alanine aminotransferase, and hypokalemia. Grade 3 or higher adverse reactions that occurred more often in the rituximab plus LMB chemotherapy arm compared to LMB chemotherapy included sepsis, stomatitis, and enteritis. Fatal adverse reactions occurred in &lt;2% of patients in both the rituximab plus LMB chemotherapy and LMB chemotherapy arms. 
The recommended rituximab dose is 375 mg/m2 as an intravenous infusion given in combination with systemic LMB chemotherapy. In total, 6 infusions of rituximab are given, 2 doses during each of the induction courses, COPDAM1 [cyclophosphamide, Oncovin (vincristine), prednisolone, Adriamycin (doxorubicin), methotrexate] and COPDAM2, and 1 dose during each of the 2 consolidation courses of CYM (Cytarabine [Aracytine, Ara-C], methotrexate) and CYVE. 
View full prescribing information for Rituxan. 
This review used the Assessment Aid, a voluntary submission from the applicant to facilitate the FDA’s assessment, and Streamlined Review.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12/03/2021
Regulated Product(s)
Drugs
Oncology</t>
  </si>
  <si>
    <t xml:space="preserve">ID_204</t>
  </si>
  <si>
    <t xml:space="preserve">FDA approves Darzalex Faspro, Kyprolis, and Dexamethasone for Multiple Myeloma </t>
  </si>
  <si>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</si>
  <si>
    <t xml:space="preserve">https://www.fda.gov/drugs/resources-information-approved-drugs/fda-approves-darzalex-faspro-kyprolis-and-dexamethasone-multiple-myeloma</t>
  </si>
  <si>
    <t xml:space="preserve">2021-12-01</t>
  </si>
  <si>
    <t xml:space="preserve">FDA approves Darzalex Faspro, Kyprolis,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30, 2021, the Food and Drug Administration approved daratumumab + hyaluronidase-fihj (Darzalex Faspro, Janssen Biotech, Inc.) and carfilzomib (Kyprolis, Amgen, Inc.) plus dexamethasone for adult patients with relapsed or refractory multiple myeloma who have received 1 to 3 prior lines of therapy.
Efficacy was evaluated in a single-arm cohort of PLEIADES (NCT03412565), a multi-cohort, open-label trial. This cohort enrolled 66 patients with relapsed or refractory multiple myeloma who received at least one prior line of therapy. Patients received Darzalex Faspro 1,800 mg/30,000 units (1,800 mg daratumumab and 30,000 units hyaluronidase) administered subcutaneously in combination with Kyprolis (20/70 mg/m2 once weekly regimen) and dexamethasone.
The main efficacy outcome measure was overall response rate (ORR). The ORR was 84.8% (95% CI: 73.9%, 92.5%). At a median follow-up of 9.2 months, the median duration of response had not been reached and an estimated 85.2% (95% CI: 72.5, 92.3) maintained response for at least 6 months and 82.5% (95% CI: 68.9, 90.6) maintained response for at least 9 months.
The most common adverse reactions (≥20%) occurring in patients treated with Darzalex Faspro, Kyprolis, and dexamethasone were upper respiratory tract infections, fatigue, insomnia, hypertension, diarrhea, cough, dyspnea, headache, pyrexia, nausea, and edema peripheral.
The recommended Darzalex Faspro dose is 1,800 mg/30,000 units (1,800 mg daratumumab and 30,000 units hyaluronidase) administered subcutaneously once weekly from Weeks 1 to 8, once every 2 weeks from Weeks 9 to 24, and once every 4 weeks starting Week 25 until disease progression or unacceptable toxicity.
The recommended dosage regimens of Kyprolis when administered in combination with Darzalex Faspro are the following:
Once weekly 20/70 mg/m2 regimen: Kyprolis 20 mg/m2 administered by IV infusion over 30 minutes on Cycle 1 Day 1 and if a dose of 20 mg/m2 is tolerated, 70 mg/m2 as a 30-minute IV infusion on Cycle 1, Day 8 and Day 15, and then Day 1, 8, and 15 of each 28-day cycle.
Twice weekly 20/56 mg/m2 regimen: Kyprolis 20 mg/m2 administered by IV infusion over 30 minutes on Cycle 1 Day 1 and Day 2 and, if a dose of 20 mg/m2 is tolerated, 56 mg/m2 administered by IV infusion over 30 minutes on Cycle 1, Day 8, 9, 15, and 16, and then on Day 1, 2, 8, 9, 15, 16 of each 28-day cycle
View full prescribing information for Darzalex Faspro.
View full prescribing information for Kyprolis.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12/01/2021
Regulated Product(s)
Drugs
Prescription Drugs</t>
  </si>
  <si>
    <t xml:space="preserve">ID_209</t>
  </si>
  <si>
    <t xml:space="preserve">FDA approves atezolizumab as adjuvant treatment for non-small cell lung cancer</t>
  </si>
  <si>
    <t xml:space="preserve">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</si>
  <si>
    <t xml:space="preserve">https://www.fda.gov/drugs/resources-information-approved-drugs/fda-approves-atezolizumab-adjuvant-treatment-non-small-cell-lung-cancer</t>
  </si>
  <si>
    <t xml:space="preserve">2021-10-15</t>
  </si>
  <si>
    <t xml:space="preserve">Group arms involve multiple platinum-based chemotherapies</t>
  </si>
  <si>
    <t xml:space="preserve">FDA approves atezolizumab as adjuvant treatment for non-small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
Today, the FDA also approved the VENTANA PD-L1 (SP263) Assay (Ventana Medical Systems, Inc.) as a companion diagnostic device to select patients with NSCLC for adjuvant treatment with Tecentriq.
Efficacy was demonstrated in a multi-center, randomized, open-label trial (IMpower010, NCT02486718) in patients with stage IB (tumors ≥ 4 cm) through stage IIIA NSCLC (per UICC/AJCC staging system, 7th edition). A total of 1005 patients who had complete tumor resection and cisplatin-based adjuvant chemotherapy were randomized (1:1) to receive atezolizumab 1200 mg every 3 weeks for 16 cycles or best supportive care (BSC).
The major efficacy outcome measure was disease-free survival (DFS) as assessed by the investigator in the primary efficacy analysis population (n=476) of patients with stage II-IIIA NSCLC with PD-L1 expression on ≥1% of tumor cells (PD-L1 ≥1% TC). Median DFS was not reached (95% CI: 36.1, NE) in patients on the atezolizumab arm compared with 35.3 months (95% CI: 29.0, NE) on the BSC arm (HR 0.66; 95% CI: 0.50, 0.88; p=0.004).
In a pre-specified secondary subgroup analysis of patients with PD-L1 TC ≥ 50% stage II-IIIA NSCLC, the DFS HR was 0.43 (95% CI: 0.27, 0.68). In an exploratory subgroup analysis of patients with PD-L1 TC 1-49% stage II-IIIA NSCLC, the DFS HR was 0.87; (95% CI: 0.60, 1.26).
The most common (≥10%) adverse reactions in patients receiving atezolizumab, including laboratory abnormalities, were increased aspartate aminotransferase, blood creatinine, and alanine aminotransferase; as well as hyperkalemia, rash, cough, hypothyroidism, pyrexia, fatigue/asthenia, musculoskeletal pain, peripheral neuropathy, arthralgia, and pruritus.
The recommended atezolizumab dose for this indication is 840 mg every 2 weeks, 1200 mg every 3 weeks, or 1680 mg every 4 weeks for up to 1 year.
View full prescribing information for Tecentriq.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Switzerland’s Swissmedic, and the United Kingdom’s Medicines and Healthcare products Regulatory Agency (MHRA).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6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01/23/2023
Regulated Product(s)
Drugs
Prescription Drugs</t>
  </si>
  <si>
    <t xml:space="preserve">ID_210</t>
  </si>
  <si>
    <t xml:space="preserve">
FDA approves pembrolizumab combination for the first-line treatment of cervical cancer</t>
  </si>
  <si>
    <t xml:space="preserve">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</si>
  <si>
    <t xml:space="preserve">https://www.fda.gov/drugs/resources-information-approved-drugs/fda-approves-pembrolizumab-combination-first-line-treatment-cervical-cancer</t>
  </si>
  <si>
    <t xml:space="preserve">2021-10-13</t>
  </si>
  <si>
    <t xml:space="preserve">FDA approves pembrolizumab combination for the first-line treatment of cervical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13,2021, the Food and Drug Administration approved pembrolizumab (Keytruda, Merck) in combination with chemotherapy, with or without bevacizumab, for patients with persistent, recurrent or metastatic cervical cancer whose tumors express PD-L1 (CPS ≥1), as determined by an FDA-approved test.
FDA also granted regular approval to pembrolizumab as a single agent for patients with recurrent or metastatic cervical cancer with disease progression on or after chemotherapy whose tumors express PD-L1 (CPS ≥1) as determined by an FDA-approved test. In June 2018, FDA had granted accelerated approval to this indication with the companion diagnostic, PD-L1 IHC 22C3 pharmDx (Dako North America Inc.).
KEYNOTE-826 (NCT03635567), a multicenter, randomized, double-blind, placebo-controlled trial, examined pembrolizumab with paclitaxel and cisplatin or paclitaxel and carboplatin, with or without bevacizumab. The trial enrolled 617 patients with persistent, recurrent, or first-line metastatic cervical cancer who had not been treated with chemotherapy. Patients were enrolled irrespective of PD-L1 expression status. Patients were randomized (1:1) to one of two treatment groups: pembrolizumab 200 mg plus chemotherapy with or without bevacizumab or placebo plus chemotherapy with or without bevacizumab. Pembrolizumab was continued until disease progression, unacceptable toxicity, or 24 months of treatment.
 The main efficacy outcome measures were overall survival (OS) and progression-free survival (PFS) assessed by the investigator using RECIST v1.1, modified to follow a maximum of 10 target lesions and a maximum of 5 target lesions per organ. Additional outcome measures were ORR and duration of response (DoR). For patients with tumors expressing PD-L1 (CPS ≥1, N=548), the median OS was not reached (95% CI: 19.8, NR) in the pembrolizumab arm and was 16.3 months (95% CI: 14.5, 19.4) in the placebo arm (HR 0.64; 95% CI: 0.50, 0.81; 1-sided p-value = 0.0001). Median PFS was 10.4 months (95% CI: 9.7, 12.3) in the pembrolizumab arm and 8.2 months (95% CI: 6.3, 8.5) in the placebo arm (HR 0.62; 95% CI: 0.50, 0.77; 1-sided p-value&lt; 0.0001). The objective response rates were 68% (95% CI: 62, 74) and 50% (95% CI: 44, 56) with median DoR of 18.0 and 10.4 months in the pembrolizumab and placebo arms, respectively.
 The most common adverse reactions (≥20%) in patients treated with pembrolizumab, chemotherapy, and bevacizumab were peripheral neuropathy, alopecia, anemia, fatigue/asthenia, nausea, neutropenia, diarrhea, hypertension, thrombocytopenia, constipation, arthralgia, vomiting, urinary tract infection, rash, leukopenia, hypothyroidism, and decreased appetite.
The recommended pembrolizumab dose is 200 mg every 3 weeks or 400 mg every 6 weeks until disease progression, unacceptable toxicity, or up to 24 months.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Assessment Aid, a voluntary submission from the applicant to facilitate the FDA’s assessment. The FDA approved this application 4 months ahead of the FDA goal date. 
This application was granted priority review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</si>
  <si>
    <t xml:space="preserve">ID_211</t>
  </si>
  <si>
    <t xml:space="preserve">FDA approves abemaciclib with endocrine therapy for early breast cancer </t>
  </si>
  <si>
    <t xml:space="preserve">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</si>
  <si>
    <t xml:space="preserve">https://www.fda.gov/drugs/resources-information-approved-drugs/fda-approves-abemaciclib-endocrine-therapy-early-breast-cancer</t>
  </si>
  <si>
    <t xml:space="preserve">2021-10-12</t>
  </si>
  <si>
    <t xml:space="preserve">FDA approves abemaciclib with endocrine therapy for early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12,2021, the Food and Drug Administration approved abemaciclib (Verzenio,Eli Lilly and Company)with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
FDA also approved the Ki-67 IHC MIB-1 pharmDx (Dako Omnis) assay, submitted by Agilent, Inc., as a companion diagnostic for selecting patients for this indication. 
Efficacy was evaluated in monarchE (NCT03155997), a randomized (1:1), open-label, two-cohort multicenter trial that included adult women and men with HR-positive, HER2-negative, node-positive, resected, early breast cancer with clinical and pathological features consistent with a high risk of disease recurrence. Patients were randomized to receive either 2 years of abemaciclib plus their physician’s choice of standard endocrine therapy or standard endocrine therapy alone. 
The major efficacy outcome measure was invasive disease-free survival (IDFS). In patients with high risk of recurrence and Ki-67 Score ≥20% (N=2003), the trial demonstrated a statistically significant improvement in IDFS (HR 0.626; 95% CI: 0.488, 0.803; p=0.0042). IDFS at 36 months was 86.1% (95% CI: 82.8, 88.8) for patients receiving abemaciclib plus tamoxifen or an aromatase inhibitor and 79.0% (95% CI: 75.3, 82.3) for those receiving tamoxifen or an aromatase inhibitor. Overall survival data were not mature at the time of the IDFS analysis. 
The most common adverse reactions (≥20%) were diarrhea, infections, neutropenia, fatigue, leukopenia, nausea, anemia, and headache.
The recommended abemaciclib starting dose is 150 mg taken twice daily in combination with tamoxifen or an aromatase inhibitor until completion of 2 years of treatment or until disease recurrence, or unacceptable toxicity. 
View full prescribing information for Verzenio. 
This review used the Real-Time Oncology Review (RTOR) pilot program, which streamlined data submission prior to the filing of the entire clinical application, and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10/13/2021
Regulated Product(s)
Drugs
Prescription Drugs</t>
  </si>
  <si>
    <t xml:space="preserve">ID_224</t>
  </si>
  <si>
    <t xml:space="preserve">FDA approves lenvatinib plus pembrolizumab for advanced renal cell carcinoma</t>
  </si>
  <si>
    <t xml:space="preserve">Food and Drug Administration approved the combination of lenvatinib (Lenvima, Eisai) plus pembrolizumab (Keytruda, Merck) for first-line treatment of adult patients with advanced renal cell carcinoma (RCC).</t>
  </si>
  <si>
    <t xml:space="preserve">https://www.fda.gov/drugs/resources-information-approved-drugs/fda-approves-lenvatinib-plus-pembrolizumab-advanced-renal-cell-carcinoma</t>
  </si>
  <si>
    <t xml:space="preserve">2021-08-10</t>
  </si>
  <si>
    <t xml:space="preserve">FDA approves lenvatinib plus pembrolizumab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10, 2021, the Food and Drug Administration approved the combination of lenvatinib (Lenvima, Eisai) plus pembrolizumab (Keytruda, Merck) for first-line treatment of adult patients with advanced renal cell carcinoma (RCC).
The efficacy of this combination was investigated in CLEAR (Study 307/KEYNOTE-581; NCT02811861), a multicenter, open-label, randomized phase 3 trial in patients with advanced RCC in the first-line setting. Patients were enrolled regardless of PD-L1 tumor expression status. The efficacy population supporting this approval included patients randomized to lenvatinib plus pembrolizumab (n=355) compared with those randomized to single-agent sunitinib (n=357).
Progression-free survival (PFS), assessed by independent radiologic review according to RECIST 1.1, and overall survival (OS) were the major efficacy endpoints. Patients receiving pembrolizumab with lenvatinib had a median PFS of 23.9 months (95% CI: 20.8, 27.7) compared with 9.2 months (95% CI: 6.0, 11.0) for those receiving sunitinib (HR 0.39; 95% CI: 0.32, 0.49; p&lt;0.0001). Median OS was not reached in either arm (HR 0.66; 95% CI: 0.49, 0.88; p=0.0049). The objective response rates were 71% (95% CI: 66, 76) and 36% (95% CI: 31, 41; p&lt;0.0001); complete response rates were 16% and 4% on the combination and sunitinib arms, respectively.
The most common adverse reactions reported in ≥ 20% of patients who received lenvatinib and pembrolizumab in clinical trials are fatigue, diarrhea, musculoskeletal pain, hypothyroidism, hypertension, stomatitis, decreased appetite, rash, nausea, decreased weight, dysphonia, proteinuria, palmar-plantar erythrodysesthesia syndrome, abdominal pain, hemorrhagic events, vomiting, constipation, hepatotoxicity, headache, and acute kidney injury. Arterial thrombotic events occurred in 5% of patients in CLEAR, including myocardial infarction (3.4%) and cerebrovascular accident (2.3%).
The recommended dosages for patients with advanced RCC are lenvatinib 20 mg orally once daily with pembrolizumab 200 mg administered as an intravenous infusion over 30 minutes every 3 weeks or 400 mg administered as an intravenous infusion over 30 minutes every 6 weeks up to 2 years, until disease progression or until unacceptable toxicity.
View full prescribing information for Lenvima.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1 month ahead of the FDA goal date.
This application was granted priority review and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08/11/2021
Regulated Product(s)
Drugs
Prescription Drugs</t>
  </si>
  <si>
    <t xml:space="preserve">ID_225</t>
  </si>
  <si>
    <t xml:space="preserve">FDA approves pembrolizumab for high-risk early-stage triple-negative breast cancer</t>
  </si>
  <si>
    <t xml:space="preserve">Food and Drug Administration approved pembrolizumab (Keytruda, Merck) for high-risk, early-stage, triple-negative breast cancer (TNBC) in combination with chemotherapy as neoadjuvant treatment, and then continued as a single agent as adjuvant treatment after surgery.</t>
  </si>
  <si>
    <t xml:space="preserve">https://www.fda.gov/drugs/resources-information-approved-drugs/fda-approves-pembrolizumab-high-risk-early-stage-triple-negative-breast-cancer</t>
  </si>
  <si>
    <t xml:space="preserve">2021-07-26</t>
  </si>
  <si>
    <t xml:space="preserve">FDA approves pembrolizumab for high-risk early-stage triple-negative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26, 2021, the Food and Drug Administration approved pembrolizumab (Keytruda, Merck) for high-risk, early-stage, triple-negative breast cancer (TNBC) in combination with chemotherapy as neoadjuvant treatment, and then continued as a single agent as adjuvant treatment after surgery.
FDA also granted regular approval to pembrolizumab in combination with chemotherapy for patients with locally recurrent unresectable or metastatic TNBC whose tumors express PD-L1 (Combined Positive Score [CPS] ≥10) as determined by an FDA approved test. FDA granted accelerated approval to pembrolizumab for this indication in November 2020.
The following trial was the basis of the neoadjuvant and adjuvant approval, as well as the confirmatory trial for the accelerated approval.
The efficacy of pembrolizumab in combination with neoadjuvant chemotherapy followed by surgery and continued adjuvant treatment with pembrolizumab as a single agent was investigated in KEYNOTE-522 (NCT03036488), a randomized, multicenter, double-blind, placebo-controlled trial conducted in 1174 patients with newly diagnosed previously untreated high-risk early-stage TNBC (tumor size &gt;1 cm but ≤2 cm in diameter with nodal involvement or tumor size &gt;2 cm in diameter regardless of nodal involvement). Patients were enrolled regardless of tumor PD-L1 expression.
Patients were randomized (2:1) to pembrolizumab in combination with chemotherapy or placebo in combination with chemotherapy. Details of the chemotherapy regimen are in the drug label linked below.
The main efficacy outcome measures were pathological complete response (pCR) rate and event free survival (EFS). The pCR rate was 63% (95% CI: 59.5, 66.4) for patients who received pembrolizumab in combination with chemotherapy compared with 56% (95% CI: 50.6, 60.6) for patients who received chemotherapy alone. The number of patients who experienced an EFS event was 123 (16%) and 93 (24%), respectively (HR 0.63; 95% CI: 0.48, 0.82; p=0.00031).
The most common adverse reactions reported in ≥ 20% of patients in trials of pembrolizumab in combination with chemotherapy were fatigue/asthenia, nausea, constipation, diarrhea, decreased appetite, rash, vomiting, cough, dyspnea, pyrexia, alopecia, peripheral neuropathy, mucosal inflammation, stomatitis, headache, weight loss, abdominal pain, arthralgia, myalgia, and insomnia.
The recommended dosage of pembrolizumab for TNBC is 200 mg every 3 weeks or 400 mg every 6 weeks as an intravenous infusion over 30 minutes. Pembrolizumab is administered in combination with chemotherapy for neoadjuvant treatment for 24 weeks, and then as a single agent for adjuvant treatment for up to 27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months ahead of the FDA goal date.
This application was granted priority review. Pembrolizumab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07/27/2021
Regulated Product(s)
Drugs
Prescription Drugs</t>
  </si>
  <si>
    <t xml:space="preserve">ID_226</t>
  </si>
  <si>
    <t xml:space="preserve">FDA grants regular approval to pembrolizumab and lenvatinib for advanced endometrial carcinoma </t>
  </si>
  <si>
    <t xml:space="preserve">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</si>
  <si>
    <t xml:space="preserve">https://www.fda.gov/drugs/resources-information-approved-drugs/fda-grants-regular-approval-pembrolizumab-and-lenvatinib-advanced-endometrial-carcinoma</t>
  </si>
  <si>
    <t xml:space="preserve">2021-07-21</t>
  </si>
  <si>
    <t xml:space="preserve">FDA grants regular approval to pembrolizumab and lenvatinib for advanced endometrial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21, 2021, the 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
FDA granted accelerated approval on September 17, 2019 to pembrolizumab with lenvatinib for advanced endometrial carcinoma. Study 309/KEYNOTE-775 (NCT03517449) was a multicenter, open-label, randomized, active-controlled trial required to confirm the clinical benefit of this accelerated approval.
Study 309/KEYNOTE-775 enrolled 827 patients with advanced endometrial carcinoma previously treated with at least one prior platinum-based chemotherapy regimen in any setting, including neoadjuvant and adjuvant treatments. Patients were randomized (1:1) to either pembrolizumab 200 mg intravenously every 3 weeks with lenvatinib 20 mg orally once daily or investigator’s choice of doxorubicin or paclitaxel.
The major efficacy outcome measures were progression-free survival (PFS), as assessed by blinded independent central review (BICR) , and overall survival (OS) . Additional efficacy outcome measures included objective response rate (ORR) and duration of response (DOR), also BICR-assessed.
For patients with advanced endometrial cancer that is not MSI-H or dMMR, the median PFS was 6.6 months (95% CI: 5.6, 7.4) for patients in the pembrolizumab and lenvatinib group and 3.8 months (95% CI: 3.6, 5.0) for those receiving investigator’s choice chemotherapy (HR 0.60; 95% CI: 0.50, 0.72; p&lt;0.0001). Median OS was 17.4 months (95% CI: 14.2, 19.9) and 12.0 months (95% CI: 10.8, 13.3), respectively (HR 0.68; 95% CI: 0.56, 0.84; p=0.0001). ORR was 30% (95% CI: 26, 36) and 15% (95% CI: 12, 19), respectively (p&lt;0.0001). Median DOR was 9.2 months (1.6+, 23.7+) and 5.7 months (0.0+, 24.2+).
The most common adverse reactions reported in ≥ 20% of patients in trials of pembrolizumab in combination with lenvatinib were hypothyroidism, hypertension, fatigue, diarrhea, musculoskeletal disorders, nausea, decreased appetite, vomiting, stomatitis, weight loss, abdominal pain, urinary tract infection, proteinuria, constipation, headache, hemorrhagic events, palmar-plantar erythrodysesthesia, dysphonia and rash.
The recommended pembrolizumab dose for endometrial carcinoma is 200 mg every 3 weeks or 400 mg every 6 weeks with lenvatinib 20 mg orally once daily.
View full prescribing information for Keytruda.
View full prescribing information for Lenvima.
This review used the Assessment Aid, a voluntary submission from the applicant to facilitate the FDA’s assessment. The FDA approved this application 6 weeks prior to the FDA goal date.
This application was granted priority review. The combination of pembrolizumab and lenvatinib received breakthrough therapy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02/01/2022
Regulated Product(s)
Drugs
Prescription Drugs</t>
  </si>
  <si>
    <t xml:space="preserve">ID_228</t>
  </si>
  <si>
    <t xml:space="preserve">FDA approves daratumumab and hyaluronidase-fihj with pomalidomide and dexamethasone for multiple myeloma</t>
  </si>
  <si>
    <t xml:space="preserve">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</si>
  <si>
    <t xml:space="preserve">https://www.fda.gov/drugs/resources-information-approved-drugs/fda-approves-daratumumab-and-hyaluronidase-fihj-pomalidomide-and-dexamethasone-multiple-myeloma</t>
  </si>
  <si>
    <t xml:space="preserve">2021-07-09</t>
  </si>
  <si>
    <t xml:space="preserve">FDA approves daratumumab and hyaluronidase-fihj with pomalidomide and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9, 2021, the 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
Efficacy was evaluated in APOLLO (NCT03180736), an open-label, active-controlled trial with 304 patients randomized (1:1) to Darzalex Faspro with pomalidomide and dexamethasone (Pd) vs Pd alone. Patients received Darzalex Faspro 1,800 mg/30,000 units (1,800 mg daratumumab and 30,000 units hyaluronidase) administered subcutaneously once weekly from Weeks 1 to 8, once every 2 weeks from Weeks 9 to 24 and once every 4 weeks starting with Week 25 until disease progression or unacceptable toxicity with pomalidomide 4 mg once daily orally on days 1-21 of each 28-day cycle; and dexamethasone 40 mg per week (or a reduced dose of 20 mg per week for patients &gt;75 years).
The main efficacy outcome measure was progression-free survival (PFS). The median PFS was 12.4 months in the Darzalex Faspro-Pd treatment group and 6.9 months in the Pd treatment group (HR 0.63; 95% CI: 0.47, 0.85; p=0.0018), representing a 37% reduction in the risk of disease progression or death for patients treated with Darzalex Faspro-Pd versus Pd.
The most common adverse reactions (≥20%) in patients with multiple myeloma who received Darzalex Faspro-Pd are fatigue, pneumonia, upper respiratory tract infection, and diarrhea.
The recommended dosage of Darzalex Faspro is 1,800 mg/30,000 units (1,800 mg daratumumab and 30,000 units hyaluronidase) administered subcutaneously into the abdomen over approximately 3 to 5 minutes according to the recommended schedule.
View full prescribing information for Darzalex Faspro.
This review used the Assessment Aid, a voluntary submission from the applicant to facilitate the FDA’s assessment. The FDA approved this application 2 months ahead of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07/12/2021
Regulated Product(s)
Drugs
Prescription Drugs</t>
  </si>
  <si>
    <t xml:space="preserve">ID_230</t>
  </si>
  <si>
    <t xml:space="preserve">FDA approves asparaginase erwinia chrysanthemi (recombinant) for leukemia and lymphoma</t>
  </si>
  <si>
    <t xml:space="preserve">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</si>
  <si>
    <t xml:space="preserve">https://www.fda.gov/drugs/resources-information-approved-drugs/fda-approves-asparaginase-erwinia-chrysanthemi-recombinant-leukemia-and-lymphoma</t>
  </si>
  <si>
    <t xml:space="preserve">2021-07-01</t>
  </si>
  <si>
    <t xml:space="preserve">FDA approves asparaginase erwinia chrysanthemi (recombinant) for leukemia and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30, 2021, the 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Efficacy was evaluated in Study JZP458-201 (NCT04145531), an open-label, multi-cohort, multicenter trial in 102 patients with ALL or LBL with hypersensitivity to E. coli-derived asparaginase as a component of a multi-agent chemotherapeutic regimen. The median age was 10 years with a range of 1 to 24 years. Patients received Rylaze intramuscularly at various dosages. 
The main efficacy outcome measure was demonstration of the achievement and maintenance of nadir serum asparaginase activity (NSAA) above the level of 0.1 U/mL. The results of modeling and simulations showed that for a dosage of 25 mg/m2 administered intramuscularly every 48 hours, the proportion of patients maintaining NSAA ≥ 0.1 U/mL at 48 hours after a dose of Rylaze was 93.6% (95% CI: 92.6%, 94.6%).
The most common adverse reactions (incidence &gt; 20%) were abnormal liver test, nausea, musculoskeletal pain, fatigue, infection, headache, pyrexia, drug hypersensitivity, febrile neutropenia, decreased appetite, stomatitis, bleeding, and hyperglycemia.
When replacing a long-acting asparaginase product, the recommended dosage of Rylaze is 25 mg/m2 administered intramuscularly every 48 hours for the required duration of asparaginase activity.
View full prescribing information for Rylaze.
This review was conducted under Project Orbis, an initiative of the FDA Oncology Center of Excellence. Project Orbis provides a framework for concurrent submission and review of oncology drugs among international partners. For this review, FDA collaborated with Health Canada.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10 months ahead of the FDA goal date.
This application was granted fast track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07/01/2021
Regulated Product(s)
Drugs
Prescription Drugs</t>
  </si>
  <si>
    <t xml:space="preserve">ID_236</t>
  </si>
  <si>
    <t xml:space="preserve">FDA grants accelerated approval to pembrolizumab for HER2-positive gastric cancer</t>
  </si>
  <si>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</si>
  <si>
    <t xml:space="preserve">https://www.fda.gov/drugs/resources-information-approved-drugs/fda-grants-accelerated-approval-pembrolizumab-her2-positive-gastric-cancer</t>
  </si>
  <si>
    <t xml:space="preserve">2021-05-05</t>
  </si>
  <si>
    <t xml:space="preserve">FDA grants accelerated approval to pembrolizumab for HER2-positive gastric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5, 2021, the 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Approval was based on the prespecified interim analysis of the first 264 patients of the ongoing KEYNOTE-811 (NCT03615326) trial, a multicenter, randomized, double‑blind, placebo‑controlled trial in patients with HER2‑positive advanced gastric or gastroesophageal junction (GEJ) adenocarcinoma who had not previously received systemic therapy for metastatic disease. Patients were randomized (1:1) to receive pembrolizumab 200 mg or placebo every 3 weeks, in combination with trastuzumab and either fluorouracil plus cisplatin or capecitabine plus oxaliplatin.
The main efficacy measure for this analysis was overall response rate (ORR) assessed by blinded independent review committee. The ORR was 74% (95% CI 66, 82) in the pembrolizumab arm and 52% (95% CI 43, 61) in the placebo arm (one-sided p-value&lt; 0.0001, statistically significant). The median duration of response (DoR) was 10.6 months (range 1.1+, 16.5+) for patients treated with pembrolizumab and 9.5 months (range 1.4+, 15.4+) for those in the placebo arm.
The adverse reaction profile observed in patients receiving pembrolizumab in Study KEYNOTE-811 is consistent with the known pembrolizumab safety profile.
The recommended pembrolizumab dose for adult patients with locally advanced unresectable or metastatic HER2 positive gastric or GEJ adenocarcinoma in combination with trastuzumab and chemotherapy is 200 mg every 3 weeks or 400 mg every 6 weeks.
View full prescribing information for Keytruda.
This review used the Real-Time Oncology Review (RTOR) pilot program, which streamlined data submission prior to the filing of the entire clinical application, and the Assessment Aid, a voluntary submission from the applicant to facilitate the FDA’s assessment.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05/05/2021
Regulated Product(s)
Drugs
Prescription Drugs</t>
  </si>
  <si>
    <t xml:space="preserve">ID_239</t>
  </si>
  <si>
    <t xml:space="preserve">FDA approves nivolumab in combination with chemotherapy for metastatic gastric cancer and esophageal adenocarcinoma</t>
  </si>
  <si>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</si>
  <si>
    <t xml:space="preserve">https://www.fda.gov/drugs/resources-information-approved-drugs/fda-approves-nivolumab-combination-chemotherapy-metastatic-gastric-cancer-and-esophageal</t>
  </si>
  <si>
    <t xml:space="preserve">2021-04-16</t>
  </si>
  <si>
    <t xml:space="preserve">FDA approves nivolumab in combination with chemotherapy for metastatic gastric cancer and esophageal adenocarcinoma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16, 2021, the Food and Drug Administration approved nivolumab (Opdivo, Bristol-Myers Squibb Company) in combination with fluoropyrimidine- and platinum-containing chemotherapy for advanced or metastatic gastric cancer, gastroesophageal junction cancer, and esophageal adenocarcinoma.
Efficacy was evaluated in CHECKMATE-649 (NCT02872116), a randomized, multicenter, open-label trial that enrolled 1,581 patients with previously untreated advanced or metastatic gastric cancer, gastroesophageal junction cancer, or esophageal adenocarcinoma. PD-L1 combined positive score (CPS) was determined centrally using the Agilent/Dako PD-L1 IHC 28-8 pharmDx test. Patients received nivolumab in combination with chemotherapy (n=789) or chemotherapy alone (n=792); study treatment was administered as follows:
Nivolumab 240 mg with mFOLFOX6 (fluorouracil, leucovorin and oxaliplatin) every 2 weeks, or mFOLFOX6 every 2 weeks.
Nivolumab 360 mg with CapeOX (capecitabine and oxaliplatin) every 3 weeks, or CapeOX every 3 weeks.
The main efficacy outcome measures, assessed in patients with PD-L1 CPS ≥5 (n=955), were progression-free survival (PFS) assessed by blinded independent central review and overall survival (OS). CHECKMATE-649 demonstrated a statistically significant improvement in PFS and OS for patients with PD-L1 CPS ≥5. Median OS was 14.4 months (95% CI: 13.1, 16.2) in the nivolumab plus chemotherapy arm vs. 11.1 months (95% CI: 10.0, 12.1) in the chemotherapy alone arm (HR 0.71; 95% CI: 0.61, 0.83; p&lt;0.0001). Median PFS was 7.7 months (95% CI: 7.0, 9.2) in the nivolumab plus chemotherapy arm versus 6.0 months (95% CI: 5.6, 6.9) in the chemotherapy alone arm (HR 0.68; 95% CI: 0.58, 0.79; p&lt;0.0001).
As an additional efficacy outcome measure, a statistically significant improvement in OS was also demonstrated for all randomized patients (n=1,581) irrespective of CPS, with a median OS of 13.8 months (95% CI: 12.6, 14.6) in the nivolumab plus chemotherapy arm vs. 11.6 months (95% CI: 10.9, 12.5) in the chemotherapy alone arm (HR 0.80; 95% CI: 0.71, 0.90; p=0.0002).
The most common adverse reactions (incidence ≥20%) observed in patients receiving nivolumab in combination with fluoropyrimidine- and platinum-containing chemotherapy were peripheral neuropathy, nausea, fatigue, diarrhea, vomiting, decreased appetite, abdominal pain, constipation, and musculoskeletal pain.
The recommended nivolumab dosages are:
360 mg every 3 weeks in combination with fluoropyrimidine- and platinum-containing chemotherapy every 3 weeks.
240 mg every 2 weeks in combination with fluoropyrimidine- and platinum-containing chemotherapy every 2 weeks.
View full prescribing information for Opdivo.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5 weeks ahead of the FDA goal date.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04/16/2021
Regulated Product(s)
Drugs
Prescription Drugs</t>
  </si>
  <si>
    <t xml:space="preserve">ID_243</t>
  </si>
  <si>
    <t xml:space="preserve">FDA approves isatuximab-irfc for multiple myeloma</t>
  </si>
  <si>
    <t xml:space="preserve">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</si>
  <si>
    <t xml:space="preserve">https://www.fda.gov/drugs/resources-information-approved-drugs/fda-approves-isatuximab-irfc-multiple-myeloma</t>
  </si>
  <si>
    <t xml:space="preserve">2021-03-31</t>
  </si>
  <si>
    <t xml:space="preserve">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31, 2021, the Food and Drug Administration approved isatuximab-irfc (Sarclisa, sanofi-aventis U.S. LLC) in combination with carfilzomib and dexamethasone, for the treatment of adult patients with relapsed or refractory multiple myeloma who have received one to three prior lines of therapy.
The efficacy and safety of isatuximab-irfc in combination with carfilzomib and dexamethasone was evaluated in IKEMA (NCT03275285), a multicenter, multinational, randomized, open-label, two-arm, phase 3 trial in patients with relapsed and/or refractory multiple myeloma who had received one to three prior lines of therapy. The trial randomized 302 patients (3:2) to receive isatuximab-irfc with carfilzomib and dexamethasone (Isa-Kd) or carfilzomib and dexamethasone (Kd).
The main efficacy outcome measure was progression-free survival (PFS), assessed by an independent response committee based on central laboratory data for M-protein and central radiologic imaging review using International Myeloma Working Group criteria. Median PFS was not reached in the Isa-Kd arm and was 20.27 months (95% CI: 15.77-NR) in the Kd arm (HR 0.548; 95% CI: 0.366-0.822; p=0.0032), representing a 45% reduction in the risk of disease progression or death in patients treated with Isa-Kd compared to those treated with Kd.
The most common adverse reactions (≥20%) in patients receiving isatuximab with carfilzomib and dexamethasone were upper respiratory tract infection, infusion-related reactions, fatigue, hypertension, diarrhea, pneumonia, dyspnea, insomnia, bronchitis, cough, and back pain. The most common hematology laboratory abnormalities (≥80%) were decreased hemoglobin, decreased lymphocytes, and decreased platelets.
The recommended isatuximab-irfc dose with carfilzomib and dexamethasone is 10 mg/kg as an intravenous infusion every week for 4 weeks followed by every 2 weeks until disease progression or unacceptable toxicity.
View full prescribing information for Sarclisa.
This review used the Assessment Aid, a voluntary submission from the applicant to facilitate the FDA’s assessment. The FDA approved this application 3 months ahead of the FDA goal date.
Isatuximab has orphan drug designation for the treatment of multiple myeloma.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04/01/2021
Regulated Product(s)
Drugs
Prescription Drugs</t>
  </si>
  <si>
    <t xml:space="preserve">ID_245</t>
  </si>
  <si>
    <t xml:space="preserve">FDA approves pembrolizumab for esophageal or GEJ carcinoma</t>
  </si>
  <si>
    <t xml:space="preserve">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</si>
  <si>
    <t xml:space="preserve">https://www.fda.gov/drugs/resources-information-approved-drugs/fda-approves-pembrolizumab-esophageal-or-gej-carcinoma</t>
  </si>
  <si>
    <t xml:space="preserve">2021-03-22</t>
  </si>
  <si>
    <t xml:space="preserve">FDA approves pembrolizumab for esophageal or GEJ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22, 2021, the 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Efficacy was evaluated in KEYNOTE-590 (NCT03189719), a multicenter, randomized, placebo-controlled trial that enrolled 749 patients with metastatic or locally advanced esophageal or gastroesophageal junction carcinoma who were not candidates for surgical resection or definitive chemoradiation. PD-L1 status was centrally determined in tumor specimens in all patients using the PD-L1 IHC 22C3 pharmDx kit. Patients were randomized (1:1) to pembrolizumab in combination with cisplatin and fluorouracil or placebo with cisplatin and fluorouracil, until unacceptable toxicity or disease progression.
The main efficacy outcome measures were overall survival (OS) and progression-free survival (PFS), as assessed by the investigator according to RECIST 1.1 (modified to follow a maximum of 10 target lesions and a maximum of 5 target lesions per organ). The trial demonstrated a statistically significant improvement in OS and PFS for patients randomized to pembrolizumab with chemotherapy. Median OS was 12.4 months (95% CI: 10.5, 14.0) for the pembrolizumab arm versus 9.8 months (95% CI: 8.8, 10.8) for the chemotherapy arm (HR 0.73; 95% CI: 0.62, 0.86; p&lt;0.0001). Median PFS was 6.3 (95% CI: 6.2, 6.9) and 5.8 months (95% CI: 5.0, 6.0), respectively (HR 0.65; 95% CI: 0.55, 0.76; p&lt;0.0001).
Most common adverse reactions reported in ≥20% of patients who received the pembrolizumab combination in KEYNOTE-590 were nausea, constipation, diarrhea, vomiting, stomatitis, fatigue/asthenia, decreased appetite, and weight loss.
The recommended pembrolizumab dose for esophageal cancer is 200 mg every 3 weeks or 400 mg every 6 weeks.
View full prescribing information for Keytruda.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Health Canada, and Switzerland’s Swissmedic.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approximately 3 weeks ahead of the FDA goal date.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03/22/2021
Regulated Product(s)
Drugs
Oncology</t>
  </si>
  <si>
    <t xml:space="preserve">ID_249</t>
  </si>
  <si>
    <t xml:space="preserve">FDA grants accelerated approval to melphalan flufenamide for relapsed or refractory multiple myeloma</t>
  </si>
  <si>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</si>
  <si>
    <t xml:space="preserve">https://www.fda.gov/drugs/resources-information-approved-drugs/withdrawn-fda-grants-accelerated-approval-melphalan-flufenamide-relapsed-or-refractory-multiple</t>
  </si>
  <si>
    <t xml:space="preserve">2021-02-26</t>
  </si>
  <si>
    <t xml:space="preserve">WITHDRAWN: FDA grants accelerated approval to melphalan flufenamide for relapsed or refractory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UPDATE: On February 23, 2024, the FDA announced its final decision to withdraw approval of melphalan flufenamide (Pepaxto) with dexamethasone to treat certain patients with multiple myeloma. The agency determined the grounds for withdrawal were met because: (1) the confirmatory study conducted as a condition of accelerated approval did not confirm Pepaxto’s clinical benefit, and (2) the available evidence demonstrates that Pepaxto is not shown to be safe or effective under its conditions of use. For further information, see the CDER Alert.
On February 26, 2021, the 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
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Efficacy was evaluated in a subpopulation of 97 patients who received four or more prior lines of therapy and were refractory to at least one proteasome inhibitor, one immunomodulatory agent, and a CD38-directed antibody. The main efficacy outcome measure was overall response rate (ORR) and duration of response (DOR) assessed by investigators according to the International Myeloma Working Group (IMWG) Criteria. The ORR was 23.7% (95% CI: 15.7, 33.4) and median DOR 4.2 months (95% CI: 3.2, 7.6).
Safety was evaluated in the 157 patients enrolled in HORIZON. Most common adverse reactions (&gt; 20%) are fatigue, nausea, diarrhea, pyrexia and respiratory tract infection. Most common laboratory abnormalities (≥50%) are decreased leukocytes, platelets, lymphocytes, neutrophils, and hemoglobin, and increased creatinine.
The safety and efficacy of melphalan flufenamide has not been established for use as a conditioning regimen in patients receiving transplant. The USPI includes Limitations of Use statement that melphalan flufenamide is not indicated and is not recommended for use as a conditioning regimen for transplant outside of controlled clinical trials.
The recommended dose of melphalan flufenamide is 40 mg intravenously over 30 minutes on day 1 of each 28-day treatment cycle, in combination with dexamethasone.
View full prescribing information for Pepaxto.
This indication is approved under accelerated approval based on response rate. Continued approval for this indication may be contingent upon verification and description of clinical benefit in confirmatory trial(s).
This application was granted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02/23/2024
Regulated Product(s)
Drugs
Prescription Drugs</t>
  </si>
  <si>
    <t xml:space="preserve">ID_255</t>
  </si>
  <si>
    <t xml:space="preserve">FDA approves nivolumab plus cabozantinib for advanced renal cell carcinoma</t>
  </si>
  <si>
    <t xml:space="preserve">Food and Drug Administration approved the combination of nivolumab (Opdivo, Bristol-Myers Squibb Co.) and cabozantinib (Cabometyx, Exelixis) as first-line treatment for patients with advanced renal cell carcinoma (RCC). </t>
  </si>
  <si>
    <t xml:space="preserve">https://www.fda.gov/drugs/resources-information-approved-drugs/fda-approves-nivolumab-plus-cabozantinib-advanced-renal-cell-carcinoma</t>
  </si>
  <si>
    <t xml:space="preserve">2021-01-22</t>
  </si>
  <si>
    <t xml:space="preserve">FDA approves nivolumab plus cabozantinib for advanced renal cell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22, 2021, the Food and Drug Administration approved the combination of nivolumab (Opdivo, Bristol-Myers Squibb Co.) and cabozantinib (Cabometyx, Exelixis) as first-line treatment for patients with advanced renal cell carcinoma (RCC).
Efficacy was evaluated in CHECKMATE-9ER (NCT03141177), a randomized, open-label trial in patients with previously untreated advanced RCC. Patients were randomized to receive either nivolumab 240 mg over 30 minutes every 2 weeks in combination with cabozantinib 40 mg orally once daily (n=323) or sunitinib 50 mg orally daily for the first 4 weeks of a 6-week cycle (4 weeks on treatment followed by 2 weeks off) (n=328).
The trial demonstrated a statistically significant improvement in progression-free survival (PFS), overall survival (OS) and confirmed overall response rate (ORR) for patients treated with nivolumab plus cabozantinib compared with those who received sunitinib. Median PFS per blinded independent central review (BICR) was 16.6 months versus 8.3 months; HR 0.51 (95% CI: 0.41, 0.64). Median OS was not reached in either arm; HR 0.60 (95% CI: 0.40, 0.89). Confirmed ORR per BICR was 55.7% and 27.1% in the nivolumab plus cabozantinib and sunitinib arms, respectively.
The most common adverse reactions (≥ 20%) in patients receiving the combination of nivolumab and cabozantinib were diarrhea, fatigue, hepatotoxicity, palmar-plantar erythrodysaesthesia syndrome, stomatitis, rash, hypertension, hypothyroidism, musculoskeletal pain, decreased appetite, nausea, dysgeusia, abdominal pain, cough, and upper respiratory tract infection.
The recommended dose is nivolumab 240 mg every 2 weeks (30-minute intravenous infusion) or 480 mg every 4 weeks (30-minute intravenous infusion) in combination with cabozantinib 40 mg orally once daily without food until disease progression or unacceptable toxicity.
View full prescribing information for Opdivo.
View full prescribing information for Cabometyx.
The nivolumab review used the Real-Time Oncology Review (RTOR) pilot program, which streamlined data submission prior to the filing of the entire clinical application. Both the nivolumab and the cabozantinib applications used the Assessment Aid, a voluntary submission from the applicant to facilitate the FDA’s assessment. The FDA approved this application approximately one month ahead of the FDA goal date.
The nivolumab application was granted fast track review, and both the nivolumab and cabozantinib applications were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01/22/2021
Regulated Product(s)
Drugs
Prescription Drugs</t>
  </si>
  <si>
    <t xml:space="preserve">ID_256</t>
  </si>
  <si>
    <t xml:space="preserve">FDA grants accelerated approval to Darzalex Faspro for newly diagnosed light chain amyloidosis</t>
  </si>
  <si>
    <t xml:space="preserve">Food and Drug Administration granted accelerated approval to daratumumab plus hyaluronidase (Darzalex Faspro, Janssen Biotech Inc.) in combination with bortezomib, cyclophosphamide and dexamethasone for newly diagnosed light chain (AL) amyloidosis. </t>
  </si>
  <si>
    <t xml:space="preserve">https://www.fda.gov/drugs/resources-information-approved-drugs/fda-grants-accelerated-approval-darzalex-faspro-newly-diagnosed-light-chain-amyloidosis</t>
  </si>
  <si>
    <t xml:space="preserve">2021-01-15</t>
  </si>
  <si>
    <t xml:space="preserve">FDA grants accelerated approval to Darzalex Faspro for newly diagnosed light chain amyloidosis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January 15, 2021, the Food and Drug Administration granted accelerated approval to daratumumab plus hyaluronidase (Darzalex Faspro, Janssen Biotech Inc.) in combination with bortezomib, cyclophosphamide and dexamethasone for newly diagnosed light chain (AL) amyloidosis.
Efficacy was evaluated in ANDROMEDA (NCT03201965), an open-label, randomized, active-controlled trial in 388 patients with newly diagnosed AL amyloidosis with measurable disease and at least one affected organ according to consensus criteria. Patients were randomized to receive bortezomib, cyclophosphamide, and dexamethasone (VCd arm) or with Darzalex Faspro (D-VCd arm).
The hematologic complete response (HemCR) rate based on established consensus response criteria as evaluated by an independent review committee was 42.1% for the D-VCd arm and 13.5% for the VCd arm (odds ratio=4.8; 95% CI: 2.9, 8.1; p&lt;0.0001).
The prescribing information includes a Warnings and Precautions that serious or fatal cardiac adverse reactions occurred in patients with light chain (AL) amyloidosis who received Darzalex Faspro in combination with bortezomib, cyclophosphamide and dexamethasone. Darzalex Faspro is not indicated and is not recommended for the treatment of patients with light chain (AL) amyloidosis who have NYHA Class IIIB or Class IV cardiac disease or Mayo Stage IIIB outside of controlled clinical trials.
The most common adverse reactions (≥20%) in patients with light chain (AL) amyloidosis who received the D-VCd regimen are upper respiratory tract infection, diarrhea, peripheral edema, constipation peripheral sensory neuropathy, fatigue, nausea, insomnia, dyspnea and cough.
The recommended Darzalex Faspro dose is (1,800 mg daratumumab and 30,000 units hyaluronidase) administered subcutaneously into the abdomen over approximately 3 to 5 minutes according to recommended schedule in combination with VCd.
View full prescribing information for Darzalex Faspro.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ANVISA approved this application on November 30, 2020. The application reviews are ongoing at the other regulatory agencies.
This review used the Real-Time Oncology Review (RTOR) pilot program, which streamlined data submission prior to the filing of the entire clinical application, and the Assessment Aid, a voluntary submission from the applicant to facilitate the FDA’s assessment. The FDA approved this application 7 weeks ahead of the FDA goal date.
This application was granted accelerated approval based on response rate. Continued approval for this indication may be contingent upon verification and description of clinical benefit in a confirmatory trial(s).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01/15/2021</t>
  </si>
  <si>
    <t xml:space="preserve">ID_261</t>
  </si>
  <si>
    <t xml:space="preserve">FDA approves selinexor for refractory or relapsed multiple myeloma</t>
  </si>
  <si>
    <t xml:space="preserve">Food and Drug Administration approved selinexor (XPOVIO, Karyopharm Therapeutics Inc.) in combination with bortezomib and dexamethasone for the treatment of adult patients with multiple myeloma who have received at least one prior therapy.</t>
  </si>
  <si>
    <t xml:space="preserve">https://www.fda.gov/drugs/resources-information-approved-drugs/fda-approves-selinexor-refractory-or-relapsed-multiple-myeloma</t>
  </si>
  <si>
    <t xml:space="preserve">2020-12-18</t>
  </si>
  <si>
    <t xml:space="preserve">FDA approves selinexor for refractory or relapsed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t>
  </si>
  <si>
    <t xml:space="preserve">ID_262</t>
  </si>
  <si>
    <t xml:space="preserve">FDA approves margetuximab for metastatic HER2-positive breast cancer</t>
  </si>
  <si>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</si>
  <si>
    <t xml:space="preserve">https://www.fda.gov/drugs/resources-information-approved-drugs/fda-approves-margetuximab-metastatic-her2-positive-breast-cancer</t>
  </si>
  <si>
    <t xml:space="preserve">2020-12-16</t>
  </si>
  <si>
    <t xml:space="preserve">FDA approves margetuximab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t>
  </si>
  <si>
    <t xml:space="preserve">ID_265</t>
  </si>
  <si>
    <t xml:space="preserve">FDA grants accelerated approval to naxitamab for high-risk neuroblastoma in bone or bone marrow</t>
  </si>
  <si>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</si>
  <si>
    <t xml:space="preserve">https://www.fda.gov/drugs/resources-information-approved-drugs/fda-grants-accelerated-approval-naxitamab-high-risk-neuroblastoma-bone-or-bone-marrow</t>
  </si>
  <si>
    <t xml:space="preserve">2020-11-25</t>
  </si>
  <si>
    <t xml:space="preserve">FDA grants accelerated approval to naxitamab for high-risk neuroblastoma in bone or bone marrow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t>
  </si>
  <si>
    <t xml:space="preserve">ID_266</t>
  </si>
  <si>
    <t xml:space="preserve">FDA grants accelerated approval to pembrolizumab for locally recurrent unresectable or metastatic triple negative breast cancer</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</si>
  <si>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</si>
  <si>
    <t xml:space="preserve">https://www.fda.gov/drugs/resources-information-approved-drugs/fda-grants-accelerated-approval-pembrolizumab-locally-recurrent-unresectable-or-metastatic-triple</t>
  </si>
  <si>
    <t xml:space="preserve">2020-11-13</t>
  </si>
  <si>
    <t xml:space="preserve">FDA grants accelerated approval to pembrolizumab for locally recurrent unresectable or metastatic triple negative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t>
  </si>
  <si>
    <t xml:space="preserve">ID_269</t>
  </si>
  <si>
    <t xml:space="preserve">FDA grants regular approval to venetoclax in combination for untreated acute myeloid leukemia</t>
  </si>
  <si>
    <t xml:space="preserve">Food and Drug Administration grants regular approval to venetoclax in combination for untreated acute myeloid leukemia. </t>
  </si>
  <si>
    <t xml:space="preserve">https://www.fda.gov/drugs/resources-information-approved-drugs/fda-grants-regular-approval-venetoclax-combination-untreated-acute-myeloid-leukemia</t>
  </si>
  <si>
    <t xml:space="preserve">2020-10-16</t>
  </si>
  <si>
    <t xml:space="preserve">FDA grants regular approval to venetoclax in combination for untreated acute myeloid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t>
  </si>
  <si>
    <t xml:space="preserve">ID_271</t>
  </si>
  <si>
    <t xml:space="preserve">FDA approves nivolumab and ipilimumab for unresectable malignant pleural mesothelioma</t>
  </si>
  <si>
    <t xml:space="preserve">Food and Drug Administration approved the combination of nivolumab (OPDIVO, Bristol-Myers Squibb Co.) plus ipilimumab (YERVOY, Bristol-Myers Squibb Co.) as first-line treatment for adult patients with unresectable malignant pleural mesothelioma. </t>
  </si>
  <si>
    <t xml:space="preserve">https://www.fda.gov/drugs/resources-information-approved-drugs/fda-approves-nivolumab-and-ipilimumab-unresectable-malignant-pleural-mesothelioma</t>
  </si>
  <si>
    <t xml:space="preserve">2020-10-02</t>
  </si>
  <si>
    <t xml:space="preserve">FDA approves nivolumab and ipilimumab for unresectable malignant pleural mesothelioma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t>
  </si>
  <si>
    <t xml:space="preserve">ID_272</t>
  </si>
  <si>
    <t xml:space="preserve">FDA issues alert about efficacy and potential safety concerns with atezolizumab in combination with paclitaxel for treatment of breast cancer </t>
  </si>
  <si>
    <t xml:space="preserve">Food and Drug Administration alerted health care professionals and oncology clinical investigators about efficacy and potential safety concerns with atezolizumab in combination with paclitaxel for treatment of breast cancer. </t>
  </si>
  <si>
    <t xml:space="preserve">https://www.fda.gov/drugs/resources-information-approved-drugs/fda-issues-alert-about-efficacy-and-potential-safety-concerns-atezolizumab-combination-paclitaxel</t>
  </si>
  <si>
    <t xml:space="preserve">2020-09-08</t>
  </si>
  <si>
    <t xml:space="preserve">FDA issues alert about efficacy and potential safety concerns with atezolizumab in combination with paclitaxel for treatment of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t>
  </si>
  <si>
    <t xml:space="preserve">ID_276</t>
  </si>
  <si>
    <t xml:space="preserve">FDA approves carfilzomib and daratumumab with dexamethasone for multiple myeloma</t>
  </si>
  <si>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</si>
  <si>
    <t xml:space="preserve">https://www.fda.gov/drugs/resources-information-approved-drugs/fda-approves-carfilzomib-and-daratumumab-dexamethasone-multiple-myeloma</t>
  </si>
  <si>
    <t xml:space="preserve">2020-08-20</t>
  </si>
  <si>
    <t xml:space="preserve">FDA approves carfilzomib and daratumumab with dexamethasone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t>
  </si>
  <si>
    <t xml:space="preserve">ID_278</t>
  </si>
  <si>
    <t xml:space="preserve">FDA grants accelerated approval to tafasitamab-cxix for diffuse large B-cell lymphoma</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</si>
  <si>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</si>
  <si>
    <t xml:space="preserve">https://www.fda.gov/drugs/resources-information-approved-drugs/fda-grants-accelerated-approval-tafasitamab-cxix-diffuse-large-b-cell-lymphoma</t>
  </si>
  <si>
    <t xml:space="preserve">2020-07-31</t>
  </si>
  <si>
    <t xml:space="preserve">FDA grants accelerated approval to tafasitamab-cxix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t>
  </si>
  <si>
    <t xml:space="preserve">ID_279</t>
  </si>
  <si>
    <t xml:space="preserve">FDA approves atezolizumab for BRAF V600 unresectable or metastatic melanoma</t>
  </si>
  <si>
    <t xml:space="preserve">Food and Drug Administration approved atezolizumab (Tecentriq, Genentech, Inc.) in combination with cobimetinib and vemurafenib for patients with BRAF V600 mutation-positive unresectable or metastatic melanoma. </t>
  </si>
  <si>
    <t xml:space="preserve">https://www.fda.gov/drugs/resources-information-approved-drugs/fda-approves-atezolizumab-braf-v600-unresectable-or-metastatic-melanoma</t>
  </si>
  <si>
    <t xml:space="preserve">2020-07-30</t>
  </si>
  <si>
    <t xml:space="preserve">FDA approves atezolizumab for BRAF V600 unresectable or metastatic melanoma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t>
  </si>
  <si>
    <t xml:space="preserve">ID_281</t>
  </si>
  <si>
    <t xml:space="preserve">FDA approves oral combination of decitabine and cedazuridine for myelodysplastic syndromes</t>
  </si>
  <si>
    <t xml:space="preserve">Food and Drug Administration approved an oral combination of decitabine and cedazuridine (INQOVI, Astex Pharmaceuticals, Inc.) for adult patients with myelodysplastic syndromes (MDS) including the following: </t>
  </si>
  <si>
    <t xml:space="preserve">https://www.fda.gov/drugs/resources-information-approved-drugs/fda-approves-oral-combination-decitabine-and-cedazuridine-myelodysplastic-syndromes</t>
  </si>
  <si>
    <t xml:space="preserve">2020-07-07</t>
  </si>
  <si>
    <t xml:space="preserve">FDA approves oral combination of decitabine and cedazuridine for myelodysplastic syndromes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t>
  </si>
  <si>
    <t xml:space="preserve">ID_284</t>
  </si>
  <si>
    <t xml:space="preserve">FDA approves combination of pertuzumab, trastuzumab, and hyaluronidase-zzxf for HER2-positive breast cancer</t>
  </si>
  <si>
    <t xml:space="preserve">Food and Drug Administration approved a new fixed-dose combination of pertuzumab, trastuzumab, and hyaluronidase–zzxf
(PHESGO, Genentech, Inc.) for subcutaneous injection</t>
  </si>
  <si>
    <t xml:space="preserve">https://www.fda.gov/drugs/drug-approvals-and-databases/fda-approves-combination-pertuzumab-trastuzumab-and-hyaluronidase-zzxf-her2-positive-breast-cancer</t>
  </si>
  <si>
    <t xml:space="preserve">2020-06-29</t>
  </si>
  <si>
    <t xml:space="preserve">FDA approves combination of pertuzumab, trastuzumab, and hyaluronidase-zzxf for HER2-positive breast cancer
Drug Approvals and Databases
Resources for Information | Approved Drugs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t>
  </si>
  <si>
    <t xml:space="preserve">ID_292</t>
  </si>
  <si>
    <t xml:space="preserve">FDA approves ramucirumab plus erlotinib for first-line metastatic NSCLC</t>
  </si>
  <si>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</si>
  <si>
    <t xml:space="preserve">https://www.fda.gov/drugs/resources-information-approved-drugs/fda-approves-ramucirumab-plus-erlotinib-first-line-metastatic-nsclc</t>
  </si>
  <si>
    <t xml:space="preserve">2020-05-29</t>
  </si>
  <si>
    <t xml:space="preserve">FDA approves ramucirumab plus erlotinib for first-line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</si>
  <si>
    <t xml:space="preserve">ID_293</t>
  </si>
  <si>
    <t xml:space="preserve">FDA approves atezolizumab plus bevacizumab for unresectable hepatocellular carcinoma</t>
  </si>
  <si>
    <t xml:space="preserve">Food and Drug Administration approved atezolizumab in combination with bevacizumab (TECENTRIQ and AVASTIN, Genentech Inc.) for patients with unresectable or metastatic hepatocellular carcinoma who have not received prior systemic therapy. </t>
  </si>
  <si>
    <t xml:space="preserve">https://www.fda.gov/drugs/resources-information-approved-drugs/fda-approves-atezolizumab-plus-bevacizumab-unresectable-hepatocellular-carcinoma</t>
  </si>
  <si>
    <t xml:space="preserve">FDA approves atezolizumab plus bevacizumab for unresectable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t>
  </si>
  <si>
    <t xml:space="preserve">ID_294</t>
  </si>
  <si>
    <t xml:space="preserve">FDA approves nivolumab plus ipilimumab and chemotherapy for first-line treatment of metastatic NSCLC</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</si>
  <si>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</si>
  <si>
    <t xml:space="preserve">https://www.fda.gov/drugs/resources-information-approved-drugs/fda-approves-nivolumab-plus-ipilimumab-and-chemotherapy-first-line-treatment-metastatic-nsclc</t>
  </si>
  <si>
    <t xml:space="preserve">2020-05-26</t>
  </si>
  <si>
    <t xml:space="preserve">FDA approves nivolumab plus ipilimumab and chemotherapy for first-line treatment of metastatic NSCLC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t>
  </si>
  <si>
    <t xml:space="preserve">ID_300</t>
  </si>
  <si>
    <t xml:space="preserve">FDA approves nivolumab plus ipilimumab for first-line mNSCLC (PD-L1 tumor expression ≥1%)</t>
  </si>
  <si>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</si>
  <si>
    <t xml:space="preserve">https://www.fda.gov/drugs/resources-information-approved-drugs/fda-approves-nivolumab-plus-ipilimumab-first-line-mnsclc-pd-l1-tumor-expression-1</t>
  </si>
  <si>
    <t xml:space="preserve">2020-05-15</t>
  </si>
  <si>
    <t xml:space="preserve">FDA approves nivolumab plus ipilimumab for first-line mNSCLC (PD-L1 tumor expression ≥1%)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t>
  </si>
  <si>
    <t xml:space="preserve">ID_302</t>
  </si>
  <si>
    <t xml:space="preserve">FDA approves olaparib plus bevacizumab as maintenance treatment for ovarian, fallopian tube, or primary peritoneal cancers</t>
  </si>
  <si>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</si>
  <si>
    <t xml:space="preserve">https://www.fda.gov/drugs/resources-information-approved-drugs/fda-approves-olaparib-plus-bevacizumab-maintenance-treatment-ovarian-fallopian-tube-or-primary</t>
  </si>
  <si>
    <t xml:space="preserve">2020-05-08</t>
  </si>
  <si>
    <t xml:space="preserve">FDA approves olaparib plus bevacizumab as maintenance treatment for ovarian, fallopian tube, or primary peritoneal cancers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t>
  </si>
  <si>
    <t xml:space="preserve">ID_309</t>
  </si>
  <si>
    <t xml:space="preserve">FDA approves ibrutinib plus rituximab for chronic lymphocytic leukemia</t>
  </si>
  <si>
    <t xml:space="preserve">Food and Drug Administration expanded the indication of ibrutinib (IMBRUVICA, Pharmacyclics LLC) to include its combination with rituximab for the initial treatment of adult patients with chronic lymphocytic leukemia (CLL) or small lymphocytic lymphoma (SLL). </t>
  </si>
  <si>
    <t xml:space="preserve">https://www.fda.gov/drugs/resources-information-approved-drugs/fda-approves-ibrutinib-plus-rituximab-chronic-lymphocytic-leukemia</t>
  </si>
  <si>
    <t xml:space="preserve">2020-04-21</t>
  </si>
  <si>
    <t xml:space="preserve">FDA approves ibrutinib plus rituximab for chronic lymphocytic leukemia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t>
  </si>
  <si>
    <t xml:space="preserve">ID_311</t>
  </si>
  <si>
    <t xml:space="preserve">FDA approves tucatinib for patients with HER2-positive metastatic breast cancer</t>
  </si>
  <si>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</si>
  <si>
    <t xml:space="preserve">https://www.fda.gov/drugs/resources-information-approved-drugs/fda-approves-tucatinib-patients-her2-positive-metastatic-breast-cancer</t>
  </si>
  <si>
    <t xml:space="preserve">2020-04-17</t>
  </si>
  <si>
    <t xml:space="preserve">FDA approves tucatinib for patients with HER2-positive metastatic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t>
  </si>
  <si>
    <t xml:space="preserve">ID_314</t>
  </si>
  <si>
    <t xml:space="preserve">FDA approves encorafenib in combination with cetuximab for metastatic colorectal cancer with a BRAF V600E mutation</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</si>
  <si>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</si>
  <si>
    <t xml:space="preserve">https://www.fda.gov/drugs/resources-information-approved-drugs/fda-approves-encorafenib-combination-cetuximab-metastatic-colorectal-cancer-braf-v600e-mutation</t>
  </si>
  <si>
    <t xml:space="preserve">2020-04-08</t>
  </si>
  <si>
    <t xml:space="preserve">FDA approves encorafenib in combination with cetuximab for metastatic colorectal cancer with a BRAF V600E mutation
Resources for Information | Approved Drugs
Oncology (Cancer)/Hematologic Malignancies Approval Notifications
Ongoing | Cancer Accelerated Approvals
Verified Clinical Benefit | Cancer Accelerated Approvals
Withdrawn | Cancer Accelerated Approvals
Other | Cancer Accelerated Approvals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t>
  </si>
  <si>
    <t xml:space="preserve">ID_316</t>
  </si>
  <si>
    <t xml:space="preserve">FDA approves durvalumab for extensive-stage small cell lung cancer</t>
  </si>
  <si>
    <t xml:space="preserve">Food and Drug Administration approved durvalumab (IMFINZI, AstraZeneca) in combination with etoposide and either carboplatin or cisplatin as first-line treatment of patients with extensive-stage small cell lung cancer (ES-SCLC). </t>
  </si>
  <si>
    <t xml:space="preserve">https://www.fda.gov/drugs/resources-information-approved-drugs/fda-approves-durvalumab-extensive-stage-small-cell-lung-cancer</t>
  </si>
  <si>
    <t xml:space="preserve">2020-03-30</t>
  </si>
  <si>
    <t xml:space="preserve">FDA approves durvalumab for extensive-stage small cell lung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t>
  </si>
  <si>
    <t xml:space="preserve">ID_317</t>
  </si>
  <si>
    <t xml:space="preserve">FDA grants accelerated approval to nivolumab and ipilimumab combination for hepatocellular carcinoma</t>
  </si>
  <si>
    <t xml:space="preserve">Food and Drug Administration granted accelerated approval to the combination of nivolumab and ipilimumab (OPDIVO and YERVOY, Bristol-Myers Squibb Co.) for patients with hepatocellular carcinoma (HCC) who have been previously treated with sorafenib. </t>
  </si>
  <si>
    <t xml:space="preserve">https://www.fda.gov/drugs/resources-information-approved-drugs/fda-grants-accelerated-approval-nivolumab-and-ipilimumab-combination-hepatocellular-carcinoma</t>
  </si>
  <si>
    <t xml:space="preserve">2020-03-10</t>
  </si>
  <si>
    <t xml:space="preserve">FDA grants accelerated approval to nivolumab and ipilimumab combination for hepatocellular carcinoma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t>
  </si>
  <si>
    <t xml:space="preserve">ID_318</t>
  </si>
  <si>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</si>
  <si>
    <t xml:space="preserve">https://www.fda.gov/drugs/resources-information-approved-drugs/fda-approves-isatuximab-irfc-multiple-myeloma-0</t>
  </si>
  <si>
    <t xml:space="preserve">2020-03-02</t>
  </si>
  <si>
    <t xml:space="preserve">FDA approves isatuximab-irfc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t>
  </si>
  <si>
    <t xml:space="preserve">ID_319</t>
  </si>
  <si>
    <t xml:space="preserve">FDA approves neratinib for metastatic HER2-positive breast cancer</t>
  </si>
  <si>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</si>
  <si>
    <t xml:space="preserve">https://www.fda.gov/drugs/resources-information-approved-drugs/fda-approves-neratinib-metastatic-her2-positive-breast-cancer</t>
  </si>
  <si>
    <t xml:space="preserve">2020-02-25</t>
  </si>
  <si>
    <t xml:space="preserve">FDA approves neratinib for metastatic HER2-positive breast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t>
  </si>
  <si>
    <t xml:space="preserve">ID_325</t>
  </si>
  <si>
    <t xml:space="preserve">Food and Drug Administration approved selinexor (XPOVIO, Karyopharm Therapeutics Inc.) in combination with bortezomib and dexamethasone for the treatment of adult patients with multiple myeloma who have received at least one prior therapy. More information. December 18, 2020</t>
  </si>
  <si>
    <t xml:space="preserve">https://wayback.archive-it.org/7993/20201219232235/https%3A//www.fda.gov/drugs/drug-approvals-and-databases/fda-approves-selinexor-refractory-or-relapsed-multiple-myeloma</t>
  </si>
  <si>
    <t xml:space="preserve">FDA approves selinexor for refractory or relapsed multiple myeloma
Share
Tweet
Linkedin
Email
Print
On December 18, 2020, the Food and Drug Administration approved selinexor (XPOVIO, Karyopharm Therapeutics Inc.) in combination with bortezomib and dexamethasone for the treatment of adult patients with multiple myeloma who have received at least one prior therapy.
FDA granted selinexor accelerated approval in 2019 in combination with dexamethasone for the treatment of adult patients with relapsed or refractory multiple myeloma (RRMM) who received at least four prior therapies and whose disease is refractory to at least two proteasome inhibitors, at least two immunomodulatory agents, and an anti-CD38 monoclonal antibody.
Efficacy of selinexor in combination with bortezomib and dexamethasone was evaluated in the BOSTON Trial (KCP-330-023, NCT03110562), a randomized (1:1) open-label, multicenter, active comparator-controlled trial in patients with RRMM who had previously received at least one and at most three prior therapies. Patients received once-weekly selinexor orally in combination with once-weekly bortezomib subcutaneous and low-dose dexamethasone twice-weekly orally (SVd) compared to the standard twice-weekly bortezomib plus low-dose dexamethasone (Vd).
The main efficacy outcome measure was progression free survival (PFS) assessed by an independent review committee using International Myeloma Working Group response criteria. The estimated median PFS was 13.9 months (95% CI: 11.7, Not Estimable) for the SVd arm and 9.5 months (95% CI: 7.6, 10.8) for the Vd arm (estimated hazard ratio 0.70; 95% CI: 0.53, 0.93).
Common adverse reactions reported in at least 20% of patients include nausea, fatigue, decreased appetite, diarrhea, peripheral neuropathy, upper respiratory tract infection decreased weight, cataract and vomiting. Grade 3-4 laboratory abnormalities (≥10%) are thrombocytopenia, lymphopenia, hypophosphatemia, anemia hyponatremia and neutropenia.
The prescribing information provides warnings and precautions for thrombocytopenia, neutropenia, gastrointestinal toxicity, hyponatremia, serious infection, neurological toxicity, embryo-fetal toxicity and cataract.
The recommended selinexor dose is 100 mg orally once weekly on day 1 of each week of a 35-day cycle until disease progression or unacceptable toxicity in combination with:
Bortezomib 1.3 mg/m2 administered subcutaneously once weekly on day 1 of each week for 4 weeks followed by 1 week off.
Dexamethasone 20 mg taken orally twice weekly on days 1 and 2 of each week.
Instruct patients to swallow tablets whole and not to crush or chew tablets.
View full prescribing information for XPOVIO.
This application was granted regular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12/18/2020
Regulated Product(s)
Drugs
Prescription Drugs
Drug Approvals and Databases
Resources for Information | Approved Drugs</t>
  </si>
  <si>
    <t xml:space="preserve">ID_326</t>
  </si>
  <si>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</si>
  <si>
    <t xml:space="preserve">https://wayback.archive-it.org/7993/20201219232235/https%3A//www.fda.gov/drugs/drug-approvals-and-databases/fda-approves-margetuximab-metastatic-her2-positive-breast-cancer</t>
  </si>
  <si>
    <t xml:space="preserve">FDA approves margetuximab for metastatic HER2-positive breast cancer
Share
Tweet
Linkedin
Email
Print
On December 16, 2020, the 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Efficacy was evaluated in SOPHIA (NCT02492711), a randomized, multicenter, open-label trial of 536 patients with IHC 3+ or ISH-amplified HER2+ metastatic breast cancer who had received prior treatment with other anti-HER2 therapies. Patients were randomized (1:1) to margetuximab plus chemotherapy or trastuzumab plus chemotherapy. Randomization was stratified by chemotherapy choice (capecitabine, eribulin, gemcitabine, or vinorelbine), number of lines of therapy in the metastatic setting (≤ 2, &gt; 2), and number of metastatic sites (≤ 2, &gt; 2).
The main efficacy outcome measures were progression-free survival (PFS) by blinded independent central review (BICR) and overall survival (OS). Additional efficacy outcome measures were objective response rate (ORR) and duration of response (DOR) assessed by BICR.
Median PFS in the margetuximab arm was 5.8 months (95% CI: 5.5, 7.0) compared with 4.9 months (95% CI: 4.2, 5.6) in the control arm (HR 0.76; 95% CI: 0.59, 0.98; p=0.033). Confirmed ORR was 22% (95% CI: 17, 27) with a median DOR of 6.1 months (95% CI: 4.1, 9.1) in the margetuximab arm compared to an ORR of 16% (95% CI: 12, 20) and median DOR of 6.0 months (95%CI: 4.0, 6.9) in the control arm.
The most common adverse drug reactions (&gt;10%) with margetuximab in combination with chemotherapy are fatigue/asthenia, nausea, diarrhea, vomiting, constipation, headache, pyrexia, alopecia, abdominal pain, peripheral neuropathy, arthralgia/myalgia, cough, decreased appetite, dyspnea, infusion-related reactions, palmar-plantar erythrodysesthesia, and extremity pain. The Prescribing Information includes a Boxed Warning to advise health professionals of the risks of left ventricular dysfunction and embryo-fetal toxicity.
The recommended margetuximab dose is 15 mg/kg by intravenous infusion over 120 minutes for the initial dose, then over a minimum of 30 minutes every 3 weeks for all subsequent doses. On days when both margetuximab and chemotherapy are to be administered, margetuximab may be administered immediately after chemotherapy completion. Refer to the respective Prescribing Information for each therapeutic agent administered in combination with margetuximab for the recommended dosage information, as appropriate.
View full prescribing information for MARGENZA.
This review used the Assessment Aid, a voluntary submission from the applicant to facilitate the FDA’s assessment.
This application was granted fast-track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12/17/2020
Regulated Product(s)
Drugs
Prescription Drugs
Drug Approvals and Databases
Resources for Information | Approved Drugs</t>
  </si>
  <si>
    <t xml:space="preserve">ID_329</t>
  </si>
  <si>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</si>
  <si>
    <t xml:space="preserve">https://wayback.archive-it.org/7993/20201219232235/https%3A//www.fda.gov/drugs/drug-approvals-and-databases/fda-grants-accelerated-approval-naxitamab-high-risk-neuroblastoma-bone-or-bone-marrow</t>
  </si>
  <si>
    <t xml:space="preserve">FDA grants accelerated approval to naxitamab for high-risk neuroblastoma in bone or bone marrow
Share
Tweet
Linkedin
Email
Print
On November 25, 2020, the 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Efficacy was evaluated in patients with relapsed or refractory neuroblastoma in the bone or bone marrow enrolled in two single-arm, open-label trials: Study 201 (NCT 03363373) and Study 12-230 (NCT 01757626). Patients with progressive disease following their most recent therapy were excluded. Patients received 3 mg/kg naxitamab administered as an intravenous infusion on days 1, 3, and 5 of each 4-week cycle in combination with GM-CSF subcutaneously at 250 µg/m2/day on days -4 to 0 and at 500 µg/m2/day on days 1 to 5. At the investigator’s discretion, patients were permitted to receive pre-planned radiation to the primary disease site in Study 201 and radiation therapy to non-target bony lesions or soft tissue disease in Study 12-230.
The main efficacy outcome measures were confirmed overall response rate (ORR) per the revised International Neuroblastoma Response Criteria (INRC) and duration of response (DOR). Among 22 patients treated in the multicenter Study 201, the ORR was 45% (95% CI: 24%, 68%) and 30% of responders had a DOR greater or equal to 6 months. Among 38 patients treated in the single-center Study 12-230, the ORR was 34% (95% CI: 20%, 51%) with 23% of patients having a DOR greater or equal to 6 months. For both trials, responses were observed in either the bone, bone marrow or both.
The prescribing information contains a Boxed Warning stating that naxitamab can cause serious infusion-related reactions and neurotoxicity, including severe neuropathic pain, transverse myelitis and reversible posterior leukoencephalopathy syndrome (RPLS). To mitigate these risks, patients should receive premedication prior to each naxitamab infusion and be closely monitored during and for at least two hours following completion of each infusion.
The most common adverse reactions (incidence ≥25% in either trial) in patients receiving naxitamab were infusion-related reactions, pain, tachycardia, vomiting, cough, nausea, diarrhea, decreased appetite, hypertension, fatigue, erythema multiforme, peripheral neuropathy, urticaria, pyrexia, headache, injection site reaction, edema, anxiety, localized edema, and irritability. The most common Grade 3 or 4 laboratory abnormalities (≥5% in either trial) were decreased lymphocytes, decreased neutrophils, decreased hemoglobin, decreased platelet count, decreased potassium, increased alanine aminotransferase, decreased glucose, decreased calcium, decreased albumin, decreased sodium and decreased phosphate.
The recommended naxitamab dose is 3 mg/kg/day (up to 150 mg/day) on days 1, 3, and 5 of each treatment cycle, administered after dilution as an intravenous infusion in combination with GM-CSF, subcutaneously at 250 µg/m2/day on days -4 to 0 and at 500 µg/m2/day on days 1 to 5. Treatment cycles are repeated every 4 to 8 weeks.
View full prescribing information for DANYELZA. https://www.accessdata.fda.gov/drugsatfda_docs/label/2020/761171lbl.pdf
This review used the Real-Time Oncology Review (RTOR) pilot program and the Assessment Aid, a voluntary submission from the applicant to facilitate the FDA’s assessment.
This application was granted accelerated approval based on overall response rate and duration of response. Continued approval may be contingent upon verification and description of clinical benefit in confirmatory trials.
This application was granted priority review, breakthrough therapy, and orphan drug designation. A priority review voucher was issued for this rare pediatric disease product application.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11/27/2020
Regulated Product(s)
Drugs
Oncology
Drug Approvals and Databases
Resources for Information | Approved Drugs</t>
  </si>
  <si>
    <t xml:space="preserve">ID_330</t>
  </si>
  <si>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</si>
  <si>
    <t xml:space="preserve">https://wayback.archive-it.org/7993/20201219232235/https%3A//www.fda.gov/drugs/drug-approvals-and-databases/fda-grants-accelerated-approval-pembrolizumab-locally-recurrent-unresectable-or-metastatic-triple</t>
  </si>
  <si>
    <t xml:space="preserve">FDA grants accelerated approval to pembrolizumab for locally recurrent unresectable or metastatic triple negative breast cancer
Share
Tweet
Linkedin
Email
Print
On November 13, 2020, the 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FDA also approved the PD-L1 IHC 22C3 pharmDx (Dako North America, Inc.) as a companion diagnostic for selecting patients with TNBC for pembrolizumab.
Approval was based on KEYNOTE-355 (NCT02819518), a multicenter, double-blind, randomized, placebo-controlled trial in patients with locally recurrent unresectable or metastatic TNBC, who had not been previously treated with chemotherapy in the metastatic setting. Patients were randomized (2:1) to receive pembrolizumab 200 mg on day 1 every 3 weeks or placebo in combination with different chemotherapy treatments (paclitaxel protein-bound, or paclitaxel, or gemcitabine plus carboplatin) via intravenous infusion.
The main efficacy outcome measure was progression-free survival (PFS) as assessed by blinded independent review according to RECIST 1.1, tested in the subgroup of patients with CPS ≥10. Median PFS was 9.7 months (95% CI: 7.6, 11.3) in the pembrolizumab plus chemotherapy arm and 5.6 months (95% CI:5.3, 7.5) in the placebo arm (HR 0.65; 95% CI: 0.49, 0.86; one-sided p-value=0.0012).
The most common adverse reactions (incidence ≥20%) in patients receiving pembrolizumab plus chemotherapy in KEYNOTE-355 were fatigue, nausea, diarrhea, constipation, vomiting, alopecia, rash, cough, decreased appetite, headache. The most common laboratory abnormalities (incidence ≥20%) in patients receiving pembrolizumab plus chemotherapy were anemia, leukopenia, neutropenia, lymphopenia, thrombocytopenia, elevated ALT and AST, hyperglycemia, hypoalbuminemia, increased alkaline phosphatase, hypocalcemia, hyponatremia, hypophosphatemia, and hypokalemia.
The recommended pembrolizumab dose for adult patients with locally recurrent unresectable or metastatic TNBC is 200 mg every 3 weeks or 400 mg every 6 weeks administered prior to chemotherapy until disease progression, unacceptable toxicity, or up to 24 months. When given with pembrolizumab, either paclitaxel protein bound 100 mg/m2 on days 1, 8 and 15 every 28 days, or paclitaxel 90 mg/m2 on days 1, 8 and 15 every 28 days, or gemcitabine 1000 mg/m2 plus carboplatin AUC 2 mg/mL/min on Days 1 and 8 every 21 days is administered via intravenous infusion.
View full prescribing information for KEYTRUDA.
This review used the Assessment Aid, a voluntary submission from the applicant to facilitate the FDA’s assessment.
This application was granted accelerated approval based on progression free survival. Continued approval for this indication may be contingent upon verification and description of clinical benefit in the confirmatory trials.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11/13/2020
Regulated Product(s)
Drugs
Prescription Drugs
Drug Approvals and Databases
Resources for Information | Approved Drugs</t>
  </si>
  <si>
    <t xml:space="preserve">ID_333</t>
  </si>
  <si>
    <t xml:space="preserve">Food and Drug Administration grants regular approval to venetoclax in combination for untreated acute myeloid leukemia. More Information. October 16, 2020</t>
  </si>
  <si>
    <t xml:space="preserve">https://wayback.archive-it.org/7993/20201219232235/https%3A//www.fda.gov/drugs/drug-approvals-and-databases/fda-grants-regular-approval-venetoclax-combination-untreated-acute-myeloid-leukemia</t>
  </si>
  <si>
    <t xml:space="preserve">FDA grants regular approval to venetoclax in combination for untreated acute myeloid leukemia
Share
Tweet
Linkedin
Email
Print
On October 16, 2020, the Food and Drug Administration granted regular approval to venetoclax (VENCLEXTA ®, AbbVie Inc. and Genentech Inc.) in combination with azacitidine, decitabine, or low-dose cytarabine (LDAC) for newly-diagnosed acute myeloid leukemia (AML) in adults 75 years or older, or who have comorbidities precluding intensive induction chemotherapy.
Venetoclax was initially granted accelerated approval for this indication in November 2018.
Efficacy was confirmed in two randomized, double-blind, placebo-controlled trials in patients with AML described above.
In VIALE-A (NCT02993523), patients were randomized to receive venetoclax plus azacitidine (n=286) or placebo plus azacitidine (n=145). Efficacy was established based on an improvement in overall survival (OS). The median OS was 14.7 months (95% CI: 11.9, 18.7) in patients treated with venetoclax plus azacitidine compared to 9.6 months (95% CI: 7.4, 12.7) in those receiving placebo plus azacitidine (HR 0.66; 95% CI: 0.52, 0.85; p&lt;0.001). Patients treated with venetoclax plus azacitidine also demonstrated an improvement in complete remission (CR) rate: 37% (95% CI: 31%, 43%) versus 18% (95% CI: 12%, 25%).
In VIALE-C (NCT03069352), patients were randomized to receive venetoclax plus LDAC (n=143) or placebo plus LDAC (n=68). Efficacy was based on CR rate and duration of CR. The CR rate on the venetoclax plus LDAC arm was 27% (95% CI: 20%, 35%) with a median duration of 11.1 months (95% CI: 6.1, not reached) compared to 7.4% (95% CI: 2.4%, 16%) with a median duration of 8.3 months (95% CI: 3.1, not reached) in those receiving placebo plus LDAC. Venetoclax plus LDAC did not significantly improve OS versus placebo plus LDAC (HR 0.75; 95% CI 0.52, 1.07; p=0.114). 
The most common adverse reactions of venetoclax in combination with azacitidine, decitabine, or low-dose cytarabine (≥30% in any trial) were nausea, diarrhea, thrombocytopenia, constipation, neutropenia, febrile neutropenia, fatigue, vomiting, edema, pyrexia, pneumonia, dyspnea, hemorrhage, anemia, rash, abdominal pain, sepsis, musculoskeletal pain, dizziness, cough, oropharyngeal pain, and hypotension.
The recommended venetoclax dose depends upon the combination regimen and is described in prescribing information. View full prescribing information for VENCLEXTA.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This review used the Real-Time Oncology Review (RTOR) pilot program and the Assessment Aid, a voluntary submission from the applicant to facilitate the FDA’s assessment. The FDA approved this application 5 weeks ahead of the FDA goal date.
FDA granted this application priority review, breakthrough designation,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10/16/2020
Regulated Product(s)
Drugs
Prescription Drugs
Drug Approvals and Databases
Resources for Information | Approved Drugs</t>
  </si>
  <si>
    <t xml:space="preserve">ID_336</t>
  </si>
  <si>
    <t xml:space="preserve">Food and Drug Administration approved the combination of nivolumab (OPDIVO, Bristol-Myers Squibb Co.) plus ipilimumab (YERVOY, Bristol-Myers Squibb Co.) as first-line treatment for adult patients with unresectable malignant pleural mesothelioma. More Information. October 2, 2020</t>
  </si>
  <si>
    <t xml:space="preserve">https://wayback.archive-it.org/7993/20201219232235/https%3A//www.fda.gov/drugs/drug-approvals-and-databases/fda-approves-nivolumab-and-ipilimumab-unresectable-malignant-pleural-mesothelioma</t>
  </si>
  <si>
    <t xml:space="preserve">FDA approves nivolumab and ipilimumab for unresectable malignant pleural mesothelioma
Share
Tweet
Linkedin
Email
Print
On October 2, 2020, the Food and Drug Administration approved the combination of nivolumab (OPDIVO, Bristol-Myers Squibb Co.) plus ipilimumab (YERVOY, Bristol-Myers Squibb Co.) as first-line treatment for adult patients with unresectable malignant pleural mesothelioma.
Efficacy was investigated in CHECKMATE-743 (NCT02899299), a randomized, open-label trial in patients with unresectable malignant pleural mesothelioma and no prior anticancer therapy. Patients were randomized to receive either nivolumab and ipilimumab for up to 2 years (n=303) or 6 cycles of combination chemotherapy with cisplatin or carboplatin plus pemetrexed (n=302).
The trial demonstrated a statistically significant improvement in overall survival (OS) for patients treated with nivolumab plus ipilimumab compared with those who received chemotherapy. Median OS was 18.1 months (95% CI: 16.8, 21.5) versus 14.1 months (95% CI: 12.5, 16.2) (HR 0.74; 95% CI: 0.61, 0.89; p=0.002).
Median progression-free survival per blinded independent central review (BICR) was 6.8 months (95% CI: 5.6, 7.4) in the nivolumab plus ipilimumab arm and 7.2 months (95% CI: 6.9, 8.1) in the chemotherapy arm (HR 1.0; 95% CI 0.82, 1.21). Confirmed overall response rate per BICR was 40% (95% CI: 34, 45) and 43% (95% CI 37, 49) in the nivolumab plus ipilimumab and chemotherapy arms, respectively. Median response duration was 11.0 months in the nivolumab plus ipilimumab arm and 6.7 months in the chemotherapy arm.
The most common adverse reactions (incidence ≥ 20%) in patients receiving the combination of nivolumab plus ipilimumab in CHECKMATE-743 were fatigue, musculoskeletal pain, rash, diarrhea, dyspnea, nausea, decreased appetite, cough, and pruritus.
The recommended doses for unresectable malignant pleural mesothelioma are nivolumab 360 mg every 3 weeks and ipilimumab 1 mg/kg every 6 weeks until disease progression, unacceptable toxicity, or up to 2 years in patients without disease progression.
View full prescribing information for OPDIVO.
View full prescribing information for YERVOY.
This review was conducted under Project Orbis, an initiative of the FDA Oncology Center of Excellence. Project Orbis provides a framework for concurrent submission and review of oncology drugs among international partners. For this review, FDA collaborated with the Australian Therapeutic Goods Administration (TGA), the Brazilian Health Regulatory Agency (ANVISA), Health Canada, and Switzerland’s Swissmedic. The application reviews are ongoing at the other regulatory agencies. FDA approval occurred approximately 5 months ahead of the goal date.
This review used the Real-Time Oncology Review (RTOR) pilot program and the Assessment Aid, a voluntary submission from the applicant to facilitate the FDA’s assessment. The applications were granted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10/02/2020
Regulated Product(s)
Drugs
Oncology
Drug Approvals and Databases
Resources for Information | Approved Drugs</t>
  </si>
  <si>
    <t xml:space="preserve">ID_337</t>
  </si>
  <si>
    <t xml:space="preserve">Food and Drug Administration alerted health care professionals and oncology clinical investigators about efficacy and potential safety concerns with atezolizumab in combination with paclitaxel for treatment of breast cancer. More Information. September 8, 2020.</t>
  </si>
  <si>
    <t xml:space="preserve">https://wayback.archive-it.org/7993/20201219232235/https%3A//www.fda.gov/drugs/resources-information-approved-drugs/fda-issues-alert-about-efficacy-and-potential-safety-concerns-atezolizumab-combination-paclitaxel</t>
  </si>
  <si>
    <t xml:space="preserve">FDA issues alert about efficacy and potential safety concerns with atezolizumab in combination with paclitaxel for treatment of breast cancer 
Share
Tweet
Linkedin
Email
Print
On September 8, 2020, the Food and Drug Administration alerted health care professionals, oncology clinical investigators, and patients that a clinical trial studying the use of atezolizumab (Tecentriq) and paclitaxel in patients with previously untreated inoperable locally advanced or metastatic triple negative breast cancer (mTNBC) showed the drug combination did not work to treat the disease. 
Atezolizumab in combination with paclitaxel is not approved for use in breast cancer. However, atezolizumab in combination with paclitaxel protein-bound (Abraxane)—a different combination therapy—is currently approved for the treatment of adult patients with mTNBC whose tumors express PD-L1 (PD-L1 stained tumor-infiltrating immune cells of any intensity covering ≥ 1% of the tumor area), as determined by an FDA-approved test. Continued approval of atezolizumab in combination with paclitaxel protein-bound may be contingent on proven benefit of the treatment in additional trials.
Health care professionals should not replace paclitaxel protein-bound (Abraxane) with paclitaxel in clinical practice.
The trial, IMpassion131, was a phase 3, multicenter, randomized, double-blind, placebo-controlled trial of atezolizumab in combination with paclitaxel compared with placebo and paclitaxel for patients with mTNBC.
In this clinical trial, treatment with atezolizumab and paclitaxel did not significantly reduce the risk of cancer progression and death compared with placebo and paclitaxel in the PD-L1-positive population. Additionally, interim overall survival results favored paclitaxel + placebo, over paclitaxel + atezolizumab in both the PD-L1-positive population and total population.
FDA will review the findings of IMpassion131 and will communicate new information regarding the IMpassion131 results and any potential changes to prescribing information. FDA is also evaluating the use of atezolizumab and paclitaxel in ongoing clinical trials for breast cancer and will recommend additional changes as appropriate.
Patients taking atezolizumab and paclitaxel for other approved uses should continue to take their medication as directed by their health care professional.
Patients should talk to their doctor if they have questions or concerns. Health care professionals and patients should report any adverse events or side effects related to the use of these products and other similar products to FDA’s MedWatch Adverse Event Reporting program.
Complete and submit the report online; or
Download and complete the form, then submit it via fax at 1-800-FDA-0178.
Tecentriq Prescribing Information
Content current as of:
09/08/2020
Regulated Product(s)
Drugs
Oncology
Resources for Information | Approved Drugs
Drug Information Soundcast in Clinical Oncology (D.I.S.C.O.)
Approved Drug Products with Therapeutic Equivalence Evaluations (Orange Book) Short Description</t>
  </si>
  <si>
    <t xml:space="preserve">ID_341</t>
  </si>
  <si>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</si>
  <si>
    <t xml:space="preserve">https://wayback.archive-it.org/7993/20201219232235/https%3A//www.fda.gov/drugs/drug-approvals-and-databases/fda-approves-carfilzomib-and-daratumumab-dexamethasone-multiple-myeloma</t>
  </si>
  <si>
    <t xml:space="preserve">FDA approves carfilzomib and daratumumab with dexamethasone for multiple myeloma
Share
Tweet
Linkedin
Email
Print
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The efficacy of carfilzomib and daratumumab with dexamethasone was evaluated in two clinical trials, CANDOR and EQUULEUS.
CANDOR (NCT03158688) was a randomized, open label, multicenter trial evaluating the combination of carfilzomib (20/56 mg/m2 twice weekly regimen) with intravenous daratumumab and dexamethasone (DKd) versus carfilzomib (20/56 mg/m2 twice weekly regimen) and dexamethasone (Kd) in patients with relapsed or refractory multiple myeloma who had received 1 to 3 prior lines of therapy. A total of 466 patients were randomized; 312 to the DKd arm and 154 to the Kd arm.
Efficacy was assessed by an independent review committee (IRC) evaluation of progression-free survival (PFS) using International Myeloma Working Group (IMWG) response criteria. Median PFS was not reached for the DKd arm and was 15.8 months (95% CI: 12.1, NE) for the Kd arm (HR 0.63; 95% CI: 0.46, 0.85; 1-sided p-value 0.0014).
EQUULEUS (NCT01998971) was an open label, multicohort trial evaluating the combination of carfilzomib (20/70 mg/m2 once weekly regimen) with intravenous daratumumab and dexamethasone (DKd). Efficacy was based on overall response rate (ORR) as assessed by IRC using IMWG response criteria. Of the 85 patients with relapsed or refractory multiple myeloma who had received 1 to 3 prior lines of therapy enrolled in the DKd cohort, the ORR was 81% (95% CI: 71, 89) with a duration of response of 27.5 months (20.5, not estimable).
The most common adverse reactions occurring in at least 20% of patients treated with carfilzomib and daratumumab in the combination therapy trials were infusion related reactions, anemia, diarrhea, fatigue, hypertension, pyrexia, respiratory tract infection, thrombocytopenia, neutropenia, lymphopenia, cough, dyspnea, insomnia, headache and back pain.
The recommended dosage regimens of carfilzomib, when administered in combination with intravenous daratumumab and dexamethasone, are:
Once weekly 20/70 mg/m2 regimen: administer carfilzomib intravenously as a 30-minute infusion on Days 1, 8, and 15 of each 28-day cycle at a dose of 20 mg/m2 on Cycle 1 Day 1 and, if tolerated, increased to 70 mg/m2 on Cycle 1 Day 8 and thereafter OR
Twice weekly 20/56 mg/m2 regimen: administer carfilzomib intravenously as a 30-minute infusion on Days 1, 2, 8, 9, 15, and 16 of each 28-day cycle at a dose of 20 mg/m2 on Days 1 and 2 of Cycle 1 and, if tolerated, increased to 56 mg/m2 on Cycle 1 Day 8 and thereafter.
The recommended dosage regimen of intravenous daratumumab, when administered in combination with carfilzomib and dexamethasone, is 16 mg/kg actual body weight administered as split dosing of 8 mg/kg on Days 1 and 2 of Cycle 1, followed by standard dosing of 16 mg/kg for subsequent doses administered weekly from Weeks 2 to 8, every two weeks from Weeks 9 to 24, and every four weeks from Week 25 and thereafter.
View full prescribing information for KYPROLIS.
View full prescribing information for DARZALEX.
This review used the Assessment Aid, a voluntary submission from the applicants to facilitate the FDA’s assessment. The FDA approved the carfilzomib and daratumumab applications 3 and 4 months ahead of the FDA goal dates, respectively.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08/21/2020
Regulated Product(s)
Drugs
Drug Approvals and Databases
Resources for Information | Approved Drugs</t>
  </si>
  <si>
    <t xml:space="preserve">ID_343</t>
  </si>
  <si>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</si>
  <si>
    <t xml:space="preserve">https://wayback.archive-it.org/7993/20201219232235/https%3A//www.fda.gov/drugs/drug-approvals-and-databases/fda-grants-accelerated-approval-tafasitamab-cxix-diffuse-large-b-cell-lymphoma</t>
  </si>
  <si>
    <t xml:space="preserve">FDA grants accelerated approval to tafasitamab-cxix for diffuse large B-cell lymphoma
Share
Tweet
Linkedin
Email
Print
On July 31, 2020, the Food and Drug Administration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The efficacy of tafasitamab-cxix with lenalidomide was evaluated in L-MIND (NCT02399085), an open label, multicenter single-arm trial in 81 patients. Patients received tafasitamab-cxix 12 mg/kg intravenously with lenalidomide (25 mg orally on days 1 to 21 of each 28-day cycle) for maximum of 12 cycles, followed by tafasitamab-cxix as monotherapy.
Efficacy was based on best overall response rate (ORR), defined as complete and partial responders and response duration, as assessed by an independent review committee. The best ORR in 71 patients with a diagnosis of DLBCL confirmed by central pathology was 55% (95% CI: 43%, 67%), with complete responses in 37% and partial responses in 18% of patients. Median response duration was 21.7 months (range: 0, 24).
The most common adverse reactions (≥20%) were neutropenia, fatigue, anemia, diarrhea, thrombocytopenia, cough, pyrexia, peripheral edema, respiratory tract infection, and decreased appetite.
The recommended tafasitamab-cxix dose is 12 mg/kg as an intravenous infusion.
View full prescribing information for MONJUVI.
This indication is approved under accelerated approval based on overall response rate. Continued approval for this indication may be contingent upon verification and description of clinical benefit in a confirmatory trial(s).
This review used the Assessment Aid, a voluntary submission from the applicant to facilitate the FDA’s assessment. The FDA approved this application one month ahead of the FDA goal date.
This application was granted priority review, fast track, breakthrough,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08/03/2020
Regulated Product(s)
Drugs
Prescription Drugs
Drug Approvals and Databases
Resources for Information | Approved Drugs</t>
  </si>
  <si>
    <t xml:space="preserve">ID_344</t>
  </si>
  <si>
    <t xml:space="preserve">Food and Drug Administration approved atezolizumab (Tecentriq, Genentech, Inc.) in combination with cobimetinib and vemurafenib for patients with BRAF V600 mutation-positive unresectable or metastatic melanoma. More Information. July 30, 2020</t>
  </si>
  <si>
    <t xml:space="preserve">https://wayback.archive-it.org/7993/20201219232235/https%3A//www.fda.gov/drugs/resources-information-approved-drugs/fda-approves-atezolizumab-braf-v600-unresectable-or-metastatic-melanoma</t>
  </si>
  <si>
    <t xml:space="preserve">FDA approves atezolizumab for BRAF V600 unresectable or metastatic melanoma
Share
Tweet
Linkedin
Email
Print
On July 30, 2020, the Food and Drug Administration approved atezolizumab (Tecentriq, Genentech, Inc.) in combination with cobimetinib and vemurafenib for patients with BRAF V600 mutation-positive unresectable or metastatic melanoma.
Efficacy in combination with cobimetinib and vemurafenib was evaluated in a double-blind, randomized (1:1), placebo-controlled, multicenter trial (IMspire150, NCT02908672) in 514 patients. After a 28-day cycle of cobimetinib and vemurafenib, patients received atezolizumab 840 mg intravenous infusion every 2 weeks in combination with cobimetinib 60 mg orally once daily and vemurafenib 720 mg orally twice daily, or placebo in combination with cobimetinib 60 mg orally once daily (21 days on/7 days off) and vemurafenib 960 mg orally twice daily.
The primary efficacy outcome measure was investigator-assessed progression-free survival (PFS) per RECIST 1.1. Median PFS was 15.1 months (95% CI: 11.4, 18.4) in the atezolizumab arm and 10.6 months (95% CI: 9.3, 12.7) in the placebo arm (HR 0.78; 95% CI: 0.63, 0.97; p=0.0249).
The most common adverse reactions (≥ 20%) with atezolizumab in combination with cobimetinib and vemurafenib in patients with melanoma were rash, musculoskeletal pain, nausea, fatigue, hepatotoxicity, pyrexia, nausea pruritus, edema, stomatitis, hypothyroidism, and photosensitivity reaction.
The recommended atezolizumab dose, following completion of a 28-day cycle of cobimetinib and vemurafenib, is 840 mg every 2 weeks with cobimetinib 60 mg orally once daily (21 days on /7 days off) and vemurafenib 720 mg orally twice daily. 
View full prescribing information for TECENTRIQ.
This review used the Assessment Aid, a voluntary submission from the applicant to facilitate the FDA’s assessment. The FDA approved this application 6 weeks ahead of the FDA goal date.
The FDA collaborated with Switzerland’s Swissmedic on the review of this application as part of Project Orbis.
This application was granted priority review and atezolizumab was granted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07/31/2020
Regulated Product(s)
Drugs
Oncology
Resources for Information | Approved Drugs
Drug Information Soundcast in Clinical Oncology (D.I.S.C.O.)
Approved Drug Products with Therapeutic Equivalence Evaluations (Orange Book) Short Description</t>
  </si>
  <si>
    <t xml:space="preserve">ID_346</t>
  </si>
  <si>
    <t xml:space="preserve">Food and Drug Administration approved an oral combination of decitabine and cedazuridine (INQOVI, Astex Pharmaceuticals, Inc.) for adult patients with myelodysplastic syndromes (MDS) including the following: More Information. July 7, 2020</t>
  </si>
  <si>
    <t xml:space="preserve">https://wayback.archive-it.org/7993/20201219232235/https%3A//www.fda.gov/drugs/drug-approvals-and-databases/fda-approves-oral-combination-decitabine-and-cedazuridine-myelodysplastic-syndromes</t>
  </si>
  <si>
    <t xml:space="preserve">FDA approves oral combination of decitabine and cedazuridine for myelodysplastic syndromes
Share
Tweet
Linkedin
Email
Print
On July 7, 2020, the Food and Drug Administration approved an oral combination of decitabine and cedazuridine (INQOVI, Astex Pharmaceuticals, Inc.) for adult patients with myelodysplastic syndromes (MDS) including the following: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Inqovi was investigated in two open-label, randomized, crossover trials. Trial ASTX727-01-B (NCT02103478) included 80 adult patients with MDS (International Prognostic Scoring System [IPSS] Intermediate-1, Intermediate-2, or high-risk) or CMML and trial ASTX727-02 (NCT03306264) included 133 adult patients with MDS or CMML, including all French-American-British classification criteria and IPSS Intermediate-1, Intermediate-2, or high-risk prognostic scores.
In both trials, patients were randomized 1:1 to receive Inqovi (35 mg decitabine and 100 mg cedazuridine) orally in cycle 1 and decitabine 20 mg/m2 intravenously in cycle 2 or the reverse sequence. Both Inqovi and intravenous decitabine were administered once daily on days 1 through 5 of a 28-day cycle. Starting with cycle 3, all patients received Inqovi orally once daily on days 1 through 5 of each 28-day cycle until disease progression or unacceptable toxicity. Both trials provided comparison of exposure and safety in the first two cycles between oral Inqovi and IV decitabine and description of disease response with Inqovi. Comparison of disease response between the Inqovi and IV decitabine was not possible because all patients received Inqovi starting from Cycle 3.
The 01-B trial demonstrated a complete response (CR) rate of 18% (95% CI: 10, 28) and median duration of CR was 8.7 months (range: 1.1, 18.2). Among the 41 patients who were dependent on red blood cell (RBC) and/or platelet transfusions at baseline, 20 (49%) became independent of RBC and platelet transfusions during any consecutive 56-day post-baseline period. Of the 39 patients who were independent of both RBC and platelet transfusions at baseline, 25 (64%) remained transfusion-independent during any consecutive 56-day post-baseline period.
The 02 trial demonstrated a geometric mean ratio of the 5-day cumulative decitabine AUC following 5 consecutive once daily doses of Inqovi compared to that of intravenous decitabine was 99% (90% CI: 93, 106). Efficacy results demonstrated that 21% of patients achieved CR (95% CI: 15, 29) and median duration of CR was 7.5 months (range: 1.6, 17.5). Among the 57 patients who were dependent on RBC and/or platelet transfusions at baseline, 30 (53%) became independent of RBC and platelet transfusions during any 56-day post-baseline period. Of the 76 patients who were independent of both RBC and platelet transfusions at baseline, 63% remained transfusion-independent during any 56-day post-baseline period. 
Most common adverse reactions (incidence ≥ 20%) to Inqovi are fatigue, constipation, hemorrhage, myalgia, mucositis, arthralgia, nausea, dyspnea, diarrhea, rash, dizziness, febrile neutropenia, edema, headache, cough, decreased appetite, upper respiratory tract infection, pneumonia, and transaminase increased. The most common grade 3 or 4 laboratory abnormalities (≥ 50%) were leukocytes decreased, platelet count decreased, neutrophil count decreased, and hemoglobin decreased. The overall safety profile of oral Inqovi was similar to IV decitabine. 
The recommended Inqovi dose is 1 tablet (35 mg decitabine and 100 mg cedazuridine) taken orally on an empty stomach once daily on days 1 through 5 of each 28‑day cycle.
View full prescribing information for INQOVI.
This review used the Oncology Center of Excellence Assessment Aid as well as the Office of Pharmaceutical Quality’s Assessment Aid for quality review. These are voluntary submissions from the applicant to facilitate the FDA’s assessment.
The FDA collaborated with international agency counterparts on the review of this application as part of Project Orbis.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07/07/2020
Regulated Product(s)
Drugs
Prescription Drugs
Drug Approvals and Databases
Resources for Information | Approved Drugs</t>
  </si>
  <si>
    <t xml:space="preserve">ID_349</t>
  </si>
  <si>
    <t xml:space="preserve">Food and Drug Administration approved a new fixed-dose combination of pertuzumab, trastuzumab, and hyaluronidase–zzxf
(PHESGO, Genentech, Inc.) More Information. June 29, 2020.</t>
  </si>
  <si>
    <t xml:space="preserve">https://wayback.archive-it.org/7993/20201219232235/https%3A//www.fda.gov/drugs/drug-approvals-and-databases/fda-approves-combination-pertuzumab-trastuzumab-and-hyaluronidase-zzxf-her2-positive-breast-cancer</t>
  </si>
  <si>
    <t xml:space="preserve">FDA approves combination of pertuzumab, trastuzumab, and hyaluronidase-zzxf for HER2-positive breast cancer
Share
Tweet
Linkedin
Email
Print
On June 29, 2020, the Food and Drug Administration approved a new fixed-dose combination of pertuzumab, trastuzumab, and hyaluronidase–zzxf
(PHESGO, Genentech, Inc.) for subcutaneous injection for the following indications: 
Use in combination with chemotherapy as: 
neoadjuvant treatment of patients with HER2-positive, locally advanced, inflammatory, or early stage breast cancer (either greater than 2 cm in diameter or node positive) as part of a complete treatment regimen for early breast cancer;
adjuvant treatment of patients with HER2-positive early breast cancer at high risk of recurrence.
Use in combination with docetaxel for treatment of patients with HER2-positive metastatic breast cancer (MBC) who have not received prior anti-HER2 therapy or chemotherapy for metastatic disease.
Efficacy was investigated in FeDeriCa (NCT03493854), an open-label, multicenter, randomized trial enrolling 500 patients with operable or locally advanced HER2-positive breast cancer. Patients were randomized to receive neoadjuvant chemotherapy with concurrent administration of either PHESGO or intravenous pertuzumab and intravenous trastuzumab during the neoadjuvant and adjuvant therapies.
The primary endpoint of FeDeriCa was non-inferiority of cycle 7 pertuzumab serum trough concentration comparing PHESGO to intravenous pertuzumab. Secondary endpoints included cycle 7 trastuzumab serum trough concentration, pathological complete response (pCR), and safety. PHESGO showed non-inferior pertuzumab and trastuzumab serum trough concentrations compared to intravenous pertuzumab and trastuzumab. The pCR rate was 59.7% (95% CI: 53.3, 65.8) in the PHESGO arm and 59.5% (95% CI: 53.2, 65.6) in the intravenous pertuzumab and intravenous trastuzumab arm. The safety profile of PHESGO is comparable to intravenous pertuzumab and trastuzumab, except for increased administration-related reactions.
The most common adverse reactions in &gt;30% patients receiving PHESGO were alopecia, nausea, diarrhea, anemia, and asthenia
The recommended initial dose of PHESGO is 1,200 mg pertuzumab, 600 mg trastuzumab, and 30,000 units hyaluronidase administered subcutaneously over approximately 8 minutes, followed every 3 weeks by a dose of 600 mg pertuzumab,
600 mg trastuzumab, and 20,000 units hyaluronidase administered subcutaneously over approximately 5 minutes.
View full prescribing information for PHESGO.
This review used the Assessment Aid, a voluntary submission from the applicant to facilitate the FDA’s assessment. This application was approved 4 months prior to the FDA goal date.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06/29/2020
Regulated Product(s)
Drugs
Prescription Drugs
Drug Approvals and Databases
Resources for Information | Approved Drugs</t>
  </si>
  <si>
    <t xml:space="preserve">ID_357</t>
  </si>
  <si>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</si>
  <si>
    <t xml:space="preserve">https://wayback.archive-it.org/7993/20201219232235/https%3A//www.fda.gov/drugs/drug-approvals-and-databases/fda-approves-ramucirumab-plus-erlotinib-first-line-metastatic-nsclc</t>
  </si>
  <si>
    <t xml:space="preserve">FDA approves ramucirumab plus erlotinib for first-line metastatic NSCLC
Share
Tweet
Linkedin
Email
Print
On May 29, 2020, the Food and Drug Administration approved ramucirumab (CYRAMZA, Eli Lilly and Company) in combination with erlotinib for first-line treatment of metastatic non-small cell lung cancer (NSCLC) with epidermal growth factor receptor (EGFR) exon 19 deletions or exon 21 (L858R) mutations.
Efficacy was evaluated in RELAY (NCT02411448), a multinational, randomized, double-blind, placebo-controlled, multicenter study in patients with previously untreated metastatic NSCLC whose tumors have EGFR exon 19 deletion or exon 21 (L858R) substitution mutations. A total of 449 patients were randomized (1:1) to receive either ramucirumab 10 mg/kg or placebo every 2 weeks as an intravenous infusion, in combination with erlotinib 150 mg orally once daily, until disease progression or unacceptable toxicity.
The major efficacy outcome measure was progression-free survival (PFS) as assessed by the investigator (RECIST 1.1). Additional efficacy outcome measures included overall survival (OS), overall response rate (ORR), and duration of response (DoR). Median PFS was 19.4 months in the ramucirumab plus erlotinib arm compared with 12.4 months in the placebo plus erlotinib arm (HR 0.59; 95% CI: 0.46, 0.76; p&lt;0.0001).
ORR was 76% in the ramucirumab plus erlotinib arm and 75% in the placebo plus erlotinib arm, with median DoR of 18.0 months and 11.1 months, respectively. At the time of the final analysis of PFS, OS data were not mature as only 26% of the deaths required for the final analysis had occurred (HR 0.83; 95% CI: 0.53, 1.30).
The most common adverse reactions observed in patients treated with ramucirumab with erlotinib at a rate of ≥20% and ≥2% higher than placebo with erlotinib were infections, hypertension, stomatitis, proteinuria, alopecia, epistaxis, and peripheral edema. The most common laboratory abnormalities at a rate of ≥20% and ≥2% higher difference in incidence between arms were increased alanine aminotransferase, increased aspartate aminotransferase, anemia, thrombocytopenia, neutropenia, increased alkaline phosphatase, and hypokalemia.
The recommended dose of ramucirumab for metastatic NSCLC in combination with erlotinib is 10 mg/kg every 2 weeks.
View full prescribing information for CYRAMZA.
This review used the Assessment Aid, a voluntary submission from the applicant to facilitate the FDA’s assessment.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</si>
  <si>
    <t xml:space="preserve">ID_358</t>
  </si>
  <si>
    <t xml:space="preserve">Food and Drug Administration approved atezolizumab in combination with bevacizumab (TECENTRIQ and AVASTIN, Genentech Inc.) for patients with unresectable or metastatic hepatocellular carcinoma who have not received prior systemic therapy. More Information. May 29, 2020</t>
  </si>
  <si>
    <t xml:space="preserve">https://wayback.archive-it.org/7993/20201219232235/https%3A//www.fda.gov/drugs/drug-approvals-and-databases/fda-approves-atezolizumab-plus-bevacizumab-unresectable-hepatocellular-carcinoma</t>
  </si>
  <si>
    <t xml:space="preserve">FDA approves atezolizumab plus bevacizumab for unresectable hepatocellular carcinoma
Share
Tweet
Linkedin
Email
Print
On May 29, 2020, the Food and Drug Administration approved atezolizumab in combination with bevacizumab (TECENTRIQ and AVASTIN, Genentech Inc.) for patients with unresectable or metastatic hepatocellular carcinoma who have not received prior systemic therapy.
Efficacy was investigated in IMbrave150 (NCT03434379), a multicenter, international, open-label, randomized trial in patients with locally advanced unresectable or metastatic hepatocellular carcinoma who had not received prior systemic therapy. A total of 501 patients were randomized (2:1) to receive either atezolizumab 1200 mg as an intravenous infusion (IV) followed by bevacizumab 15 mg/kg IV on the same day, every 3 weeks, or sorafenib orally twice daily.
The main efficacy outcome measures were overall survival (OS) and independent review facility (IRF)-assessed progression-free survival (PFS) per RECIST 1.1. Additional efficacy outcome measures were IRF-assessed overall response rate (ORR) per RECIST 1.1 and mRECIST.
Median OS was not reached in the patients who received atezolizumab plus bevacizumab and was 13.2 months (95% CI: 10.4, NE) in the patients who received sorafenib (HR 0.58; 95% CI: 0.42, 0.79; p=0.0006). Estimated median PFS was 6.8 months (95% CI: 5.8, 8.3) vs. 4.3 months (95% CI: 4.0, 5.6), respectively (HR 0.59; 95% CI: 0.47, 0.76; p&lt;0.0001). The ORR per RECIST 1.1 was 28% (95% CI: 23, 33) in the atezolizumab plus bevacizumab group compared with 12% (95% CI: 7,17) in the sorafenib group (p&lt;0.0001). The ORR per mRECIST was 33% (95% CI: 28, 39) vs. 13% (95% CI: 8, 19), respectively (p&lt;0.0001).
The most common adverse reactions (reported in ≥20% of patients) with atezolizumab plus bevacizumab in patients with HCC were hypertension, fatigue and proteinuria.
The recommended atezolizumab dose is 1,200 mg, followed by 15 mg/kg bevacizumab on the same day every 3 weeks. If bevacizumab is discontinued, atezolizumab should be given either as 840 mg every 2 weeks, 1,200 mg every 3 weeks, or 1,680 mg every 4 weeks.
View full prescribing information for TECENTRIQ.
View full prescribing information for AVASTIN.
FDA collaborated with the Australian Therapeutic Goods Administration (TGA), Health Canada, and Singapore’s Health Sciences Authority (HSA) on the review of the atezolizumab application as part of Project Orbis. FDA approved this application nearly two months ahead of schedule. The review of the atezolizumab application is ongoing for the Australian TGA, Health Canada and Singapore’s HSA.
This review used the Real-Time Oncology Review (RTOR), which streamlined data submission prior to the filing of the entire clinical application, and the Assessment Aid, a voluntary submission from the applicant to facilitate the FDA’s assessment.
These applications were granted priority review and atezolizumab and bevacizumab received breakthrough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06/01/2020
Regulated Product(s)
Drugs
Prescription Drugs
Drug Approvals and Databases
Resources for Information | Approved Drugs</t>
  </si>
  <si>
    <t xml:space="preserve">ID_359</t>
  </si>
  <si>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</si>
  <si>
    <t xml:space="preserve">https://wayback.archive-it.org/7993/20201219232235/https%3A//www.fda.gov/drugs/drug-approvals-and-databases/fda-approves-nivolumab-plus-ipilimumab-and-chemotherapy-first-line-treatment-metastatic-nsclc</t>
  </si>
  <si>
    <t xml:space="preserve">FDA approves nivolumab plus ipilimumab and chemotherapy for first-line treatment of metastatic NSCLC
Share
Tweet
Linkedin
Email
Print
On May 26, 2020, the 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Efficacy was investigated in CHECKMATE-9LA (NCT03215706), a randomized, open-label trial in patients with metastatic or recurrent NSCLC. Patients were randomized to receive either the combination of nivolumab plus ipilimumab and 2 cycles of platinum-doublet chemotherapy (n=361) or platinum-doublet chemotherapy for 4 cycles (n=358).
The trial demonstrated a statistically significant benefit in overall survival (OS) for patients treated with nivolumab plus ipilimumab plus chemotherapy compared to those who received chemotherapy. Median OS was 14.1 months (95% CI: 13.2, 16.2) versus 10.7 months (95% CI: 9.5, 12.5), HR 0.69; 96.71% CI: 0.55, 0.87).
Median progression-free survival (PFS) per blinded independent central review (BICR) was 6.8 months (95% CI: 5.6, 7.7) in the nivolumab plus ipilimumab and chemotherapy arm and 5 months (95% CI: 4.3, 5.6) in the chemotherapy arm (HR 0.70; 95% CI: 0.57, 0.86). Confirmed overall response rate (ORR) per BICR was 38% (95% CI: 33, 43) and 25% (95% CI: 21, 30) respectively. Median response duration was 10 months in the nivolumab plus ipilimumab and chemotherapy arm, and 5.1 months in the chemotherapy arm.
The most common adverse reactions in ≥20% of patients receiving nivolumab in combination with ipilimumab and platinum-doublet chemotherapy were fatigue, musculoskeletal pain, nausea, diarrhea, rash, decreased appetite, constipation, and pruritus.
The recommended nivolumab dose for this indication is 360 mg every 3 weeks with ipilimumab 1 mg/kg every 6 weeks and 2 cycles of platinum-doublet chemotherapy. The nivolumab and ipilimumab is continued until disease progression, unacceptable toxicity, or up to 2 years in patients without disease progression.
View full prescribing information for OPDIVO.
View full prescribing information for YERVOY.
FDA collaborated with the Australian Therapeutic Goods Administration (TGA), Health Canada, and Singapore’s Health Sciences Authority (HSA) on the review of this application as part of Project Orbis. FDA approved this application 2 months ahead of schedule. The FDA and HSA decisions are near-simultaneous, while the review of the applications is ongoing for the Australian TGA and Health Canada.
This review used the Real-Time Oncology Review (RTOR), which streamlined data submission prior to the filing of the entire clinical application, and the Assessment Aid, a voluntary submission from the applicant to facilitate the FDA’s assessment.
This application was granted priority review and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05/27/2020
Regulated Product(s)
Drugs
Prescription Drugs
Drug Approvals and Databases
Resources for Information | Approved Drugs</t>
  </si>
  <si>
    <t xml:space="preserve">ID_365</t>
  </si>
  <si>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</si>
  <si>
    <t xml:space="preserve">https://wayback.archive-it.org/7993/20201219232235/https%3A//www.fda.gov/drugs/drug-approvals-and-databases/fda-approves-nivolumab-plus-ipilimumab-first-line-mnsclc-pd-l1-tumor-expression-1</t>
  </si>
  <si>
    <t xml:space="preserve">FDA approves nivolumab plus ipilimumab for first-line mNSCLC (PD-L1 tumor expression ≥1%)
Share
Tweet
Linkedin
Email
Print
On May 15, 2020, the 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Today, the FDA also approved the PD-L1 IHC 28-8 pharmDx (Agilent Technologies, Inc.) as a companion diagnostic device for selecting patients with NSCLC for treatment with nivolumab plus ipilimumab.
Efficacy was investigated in CHECKMATE-227 (NCT02477826), a randomized, open-label, multi-part trial in patients with metastatic or recurrent NSCLC and no prior anticancer therapy. In Part 1a of the trial, 793 patients with PD-L1 tumor expression ≥1% were randomized to receive either the combination of nivolumab plus with ipilimumab (n=396) or platinum-doublet chemotherapy (n=397).
The trial demonstrated a statistically significant improvement in overall survival (OS) for patients with PD-L1 tumor expression ≥1% receiving nivolumab plus ipilimumab compared to those treated with platinum-doublet chemotherapy. Median OS was 17.1 months (95% CI: 15, 20.1) versus 14.9 (95% CI: 12.7, 16.7) (HR 0.79; 95% CI: 0.67, 0.94; p=0.0066).
Median progression-free survival (PFS) per blinded independent central review (BICR) was 5.1 months (95% CI: 4.1, 6.3) in the nivolumab plus ipilimumab arm and 5.6 months (95% CI: 4.6, 5.8) in the platinum-doublet chemotherapy arm (HR 0.82; 95% CI: 0.69, 0.97). Confirmed overall response rate (ORR) per BICR was 36% (95% CI: 31, 41) and 30% (95% CI: 26, 35), respectively. Median response duration was 23.2 months in the nivolumab plus ipilimumab arm and 6.2 months in the platinum-doublet chemotherapy arm.
The most common adverse reactions in ≥20% of patients receiving the combination of nivolumab plus ipilimumab in CHECKMATE-227 were fatigue, rash, decreased appetite, musculoskeletal pain, diarrhea/colitis, dyspnea, cough, pruritis, nausea, and hepatitis.
The recommended doses for metastatic NSCLC are nivolumab 3 mg/kg every 2 weeks and ipilimumab 1 mg/kg every 6 weeks until disease progression, unacceptable toxicity, or up to 2 years in patients without disease progression.
View full prescribing information for OPDIVO.
View full prescribing information for YERVOY.
This application was granted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05/15/2020
Regulated Product(s)
Drugs
Prescription Drugs
Drug Approvals and Databases
Resources for Information | Approved Drugs</t>
  </si>
  <si>
    <t xml:space="preserve">ID_367</t>
  </si>
  <si>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</si>
  <si>
    <t xml:space="preserve">https://wayback.archive-it.org/7993/20201219232235/https%3A//www.fda.gov/drugs/drug-approvals-and-databases/fda-approves-olaparib-plus-bevacizumab-maintenance-treatment-ovarian-fallopian-tube-or-primary</t>
  </si>
  <si>
    <t xml:space="preserve">FDA approves olaparib plus bevacizumab as maintenance treatment for ovarian, fallopian tube, or primary peritoneal cancers
Share
Tweet
Linkedin
Email
Print
On May 8, 2020, the 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FDA also approved the Myriad myChoice® CDx (Myriad Genetic Laboratories, Inc.) as a companion diagnostic for olaparib.
Efficacy of this new indication was investigated in PAOLA-1 (NCT03737643), a randomized, double-blind, placebo-controlled, multi-center trial comparing olaparib with bevacizumab versus placebo plus bevacizumab in patients with advanced high-grade epithelial ovarian cancer, fallopian tube, or primary peritoneal cancer following first-line platinum-based chemotherapy and bevacizumab.
Randomization was stratified by first-line treatment outcome and tumor BRCA mutation (tBRCAm) status, determined by prospective local testing. All available clinical samples were retrospectively tested with Myriad myChoice® CDX test.
Patients were randomized (2:1) to receive olaparib tablets 300 mg orally twice daily in combination with bevacizumab (n=537) 15 mg/kg every three weeks or placebo plus bevacizumab (n=269). Patients continued bevacizumab in the maintenance setting and started olaparib after a minimum of 3 weeks and up to a maximum of 9 weeks following their last chemotherapy dose. Olaparib was continued for up to 2 years or until disease progression or unacceptable toxicity.
The major efficacy outcome measure was investigator-assessed progression-free survival (PFS) evaluated according to RECIST 1.1. An additional efficacy endpoint was overall survival (OS). Estimated median PFS in the subgroup of 387 patients with HRD-positive tumors was 37.2 months in the olaparib with bevacizumab arm and 17.7 months in the placebo plus bevacizumab arm (HR 0.33; 95% CI: 0.25-0.45). Results from a blinded independent review of PFS were consistent with the investigator-assessed PFS analysis. OS data were not mature.
The most common adverse reactions in the olaparib with bevacizumab treatment (≥10% of patients) were nausea, fatigue (including asthenia), anemia, lymphopenia, vomiting, diarrhea, neutropenia, leukopenia, urinary tract infection, and headache.
The recommended olaparib dose is 300 mg taken orally twice daily, with or without food. When used with olaparib, the recommended bevacizumab dose is 15 mg/kg intravenously every three weeks.
View full prescribing information for LYNPARZA.
This review used the Assessment Aid, a voluntary submission from the applicant to facilitate the FDA’s assessment.
FDA granted this application priority review and orphan product designation. A description of FDA expedited programs is in the Guidance for Industry: Expedited Programs for Serious Conditions-Drugs and Biologics .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05/11/2020
Regulated Product(s)
Drugs
Prescription Drugs
Drug Approvals and Databases
Resources for Information | Approved Drugs</t>
  </si>
  <si>
    <t xml:space="preserve">ID_374</t>
  </si>
  <si>
    <t xml:space="preserve">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</si>
  <si>
    <t xml:space="preserve">https://wayback.archive-it.org/7993/20201219232235/https%3A//www.fda.gov/drugs/drug-approvals-and-databases/fda-approves-ibrutinib-plus-rituximab-chronic-lymphocytic-leukemia</t>
  </si>
  <si>
    <t xml:space="preserve">FDA approves ibrutinib plus rituximab for chronic lymphocytic leukemia
Share
Tweet
Linkedin
Email
Print
On April 21, 2020, the Food and Drug Administration expanded the indication of ibrutinib (IMBRUVICA, Pharmacyclics LLC) to include its combination with rituximab for the initial treatment of adult patients with chronic lymphocytic leukemia (CLL) or small lymphocytic lymphoma (SLL).
This review was conducted under Project Orbis, an initiative of the FDA Oncology Center of Excellence. Project Orbis provides a framework for concurrent submission and review of oncology drugs among international partners. For this application, a modified Project Orbis was undertaken because of the timing of submission to other regulatory agencies. Nevertheless, the FDA is collaborating with the Australian Therapeutic Goods Administration, Health Canada, and Swissmedic as they review the application.
Approval was based on the E1912 trial (NCT02048813), a 2:1 randomized, multicenter, open-label, actively controlled trial of ibrutinib with rituximab compared to fludarabine, cyclophosphamide, and rituximab (FCR) in 529 adult patients 70 years or younger with previously untreated CLL or SLL requiring systemic therapy. Patients with 17p deletion were excluded. Ibrutinib was administered at 420 mg daily until disease progression or unacceptable toxicity. 
The main efficacy outcome measure was progression-free survival (PFS). The trial demonstrated a statistically significant improvement in PFS for patients receiving ibrutinib plus rituximab compared with those receiving FCR (HR 0.34; 95% CI: 0.22, 0.52; p&lt;0.0001). Median PFS was not reached in either arm after a median follow-up duration of 37 months.
The most common adverse reactions (≥30%) in patients with CLL/SLL receiving ibrutinib are thrombocytopenia, diarrhea, fatigue, musculoskeletal pain, neutropenia, rash, anemia, bruising, and nausea.
The recommended ibrutinib dose is 420 mg taken orally once daily with a glass of water. Rituximab was initiated in Cycle 2 and administered at 50 mg/m2 on Day 1, 325 mg/m2 on Day 2, and 500 mg/m2 on Day 1 of 5 subsequent cycles, for a total of 6 cycles.
View full prescribing information for IMBRUVICA.
FDA used the Real-Time Oncology Review and Assessment Aid Pilot Programs for this application and the application was granted priority review. The Assessment Aid is being used to facilitate discussions among the regulatory agencies participating in Project Orbis.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04/21/2020
Regulated Product(s)
Drugs
Drug Approvals and Databases
Resources for Information | Approved Drugs</t>
  </si>
  <si>
    <t xml:space="preserve">ID_376</t>
  </si>
  <si>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</si>
  <si>
    <t xml:space="preserve">https://wayback.archive-it.org/7993/20201219232235/https%3A//www.fda.gov/drugs/resources-information-approved-drugs/fda-approves-tucatinib-patients-her2-positive-metastatic-breast-cancer</t>
  </si>
  <si>
    <t xml:space="preserve">FDA approves tucatinib for patients with HER2-positive metastatic breast cancer
Share
Tweet
Linkedin
Email
Print
On April 17, 2020, the Food and Drug Administration approved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This review was conducted under Project Orbis, an initiative of the FDA Oncology Center of Excellence. Project Orbis provides a framework for concurrent submission and review of oncology drugs among international partners. The U.S. FDA, the Australian Therapeutic Goods Administration, Health Canada, Health Sciences Authority (Singapore), and Swissmedic (Switzerland) collaborated on this review. 
While the FDA approved tucatinib today, the application is still under review at the
other agencies.
Efficacy was demonstrated in the HER2CLIMB trial (NCT02614794) enrolling 612 patients with HER2-positive metastatic breast cancer who had prior treatment with trastuzumab, pertuzumab, and ado-trastuzumab emtansine. Patients received either tucatinib 300 mg twice daily plus trastuzumab and capecitabine (tucatinib arm, n=410) or placebo plus trastuzumab and capecitabine (control arm, n=202).
The primary endpoint was progression-free survival (PFS), assessed by a blinded independent central review, evaluated in the initial 480 randomized patients. The median PFS in patients receiving tucatinib was 7.8 months (95% CI: 7.5, 9.6) compared to 5.6 months (95% CI: 4.2, 7.1) for patients enrolled on the control arm (HR 0.54; 95% CI: 0.42, 0.71; p&lt;0.00001).
Additional efficacy outcome measures were evaluated in all randomized patients and included overall survival (OS), PFS among patients with a history or presence of brain metastases, and confirmed objective response rate (ORR).
The median OS in patients on the tucatinib arm was 21.9 months (95% CI: 18.3, 31.0) compared to 17.4 months (95% CI: 13.6, 19.9) for patients on the control arm (HR: 0.66; 95% CI: 0.50, 0.87; p=0.00480). The median PFS for patients with baseline brain metastases on the tucatinib arm was 7.6 months (95% CI: 6.2, 9.5) compared to 5.4 months (95% CI: 4.1, 5.7) for those on the control arm (HR: 0.48; 0.34, 0.69; p&lt;0.00001).
The confirmed ORR for patients with measurable disease was 40.6% (95% CI: 35.3, 46.0) and 22.8% (95% CI: 16.7, 29.8) for patients in the tucatinib and control arms, respectively (p=0.00008).
The most common adverse reactions (≥ 20% of patients) were diarrhea, palmar-plantar erythrodysesthesia, nausea, fatigue, hepatotoxicity, vomiting, stomatitis, decreased appetite, abdominal pain, headache, anemia, and rash. Tucatinib can also cause severe diarrhea and hepatotoxicity.
The recommended tucatinib dose is 300 mg taken orally twice a day in combination with trastuzumab (at standard dosage) and capecitabine (1000 mg/m2 given orally twice daily on days 1-14 of a 21-day cycle) until disease progression or unacceptable toxicity.
View full prescribing information for TUKYSA.
This review used the Real-Time Oncology Review (RTOR) pilot program and Assessment Aid, a voluntary submission from the applicant to facilitate FDA’s assessment. The FDA approved this application 4 months ahead of the FDA goal date.
FDA granted tucatinib orphan drug, fast track,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04/20/2020
Regulated Product(s)
Drugs
Oncology
Resources for Information | Approved Drugs
Drug Information Soundcast in Clinical Oncology (D.I.S.C.O.)
Approved Drug Products with Therapeutic Equivalence Evaluations (Orange Book) Short Description</t>
  </si>
  <si>
    <t xml:space="preserve">ID_379</t>
  </si>
  <si>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</si>
  <si>
    <t xml:space="preserve">https://wayback.archive-it.org/7993/20201219232235/https%3A//www.fda.gov/drugs/resources-information-approved-drugs/fda-approves-encorafenib-combination-cetuximab-metastatic-colorectal-cancer-braf-v600e-mutation</t>
  </si>
  <si>
    <t xml:space="preserve">FDA approves encorafenib in combination with cetuximab for metastatic colorectal cancer with a BRAF V600E mutation
Share
Tweet
Linkedin
Email
Print
On April 8, 2020, the Food and Drug Administration approved encorafenib (BRAFTOVI, Array BioPharma Inc.) in combination with cetuximab for the treatment of adult patients with metastatic colorectal cancer (CRC) with a BRAF V600E mutation, detected by an FDA-approved test, after prior therapy.
Efficacy was evaluated in a randomized, active-controlled, open-label, multicenter trial (BEACON CRC; NCT02928224). Eligible patients were required to have BRAF V600E mutation-positive metastatic CRC(detected by the Qiagen therascreen® BRAF V600E RGQ PCR kit) with disease progression after one or two prior regimens. A total of 220 patients were randomized to encorafenib (300 mg orally once daily) in combination with cetuximab and 221 patients were randomized to the control arm of either irinotecan or FOLFIRI with cetuximab.
The major efficacy outcome measure was overall survival (OS). Additional efficacy outcome measures included progression-free survival (PFS), overall confirmed response rate (ORR), and duration of response (DoR). ORR and DoR were assessed by blinded independent central review in the subset of the first 220 patients randomized to receive either encorafenib plus cetuximab or the control arm. Median OS was 8.4 months (95% CI: 7.5, 11.0) in the encorafenib and cetuximab arm compared to 5.4 months (95% CI: 4.8, 6.6) in the control arm (HR 0.60; 95% CI: 0.45, 0.79; p=0.0003). Median PFS was 4.2 months (95% CI: 3.7, 5.4) in the encorafenib and cetuximab arm compared to 1.5 months (95% CI: 1.4, 1.7) in the control arm (HR 0.40; 95% CI: 0.31, 0.52; p&lt; 0.0001). ORR was 20% (95% CI: 13%, 29%) and 2% (95% CI: 0%, 7%), respectively. Median DOR was 6.1 months (95% CI: 4.1, 8.3) for the encorafenib and cetuximab arm and not reached (95% CI: 2.6, NR) in the control arm.
The most common adverse reactions (≥25%) for encorafenib with cetuximab were fatigue, nausea, diarrhea, dermatitis acneiform, abdominal pain, decreased appetite, arthralgia, and rash.
The recommended encorafenib dose is 300 mg orally once daily in combination with cetuximab.
View full prescribing information for BRAFTOVI.
This review used the Assessment Aid, a voluntary submission from the applicant to facilitate the FDA’s assessment.
This application was granted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04/09/2020
Regulated Product(s)
Drugs
Resources for Information | Approved Drugs
Drug Information Soundcast in Clinical Oncology (D.I.S.C.O.)
Approved Drug Products with Therapeutic Equivalence Evaluations (Orange Book) Short Description</t>
  </si>
  <si>
    <t xml:space="preserve">ID_381</t>
  </si>
  <si>
    <t xml:space="preserve">Food and Drug Administration approved durvalumab (IMFINZI, AstraZeneca) in combination with etoposide and either carboplatin or cisplatin as first-line treatment of patients with extensive-stage small cell lung cancer (ES-SCLC). More Information. March 30, 2020</t>
  </si>
  <si>
    <t xml:space="preserve">https://wayback.archive-it.org/7993/20201219232235/https%3A//www.fda.gov/drugs/resources-information-approved-drugs/fda-approves-durvalumab-extensive-stage-small-cell-lung-cancer</t>
  </si>
  <si>
    <t xml:space="preserve">FDA approves durvalumab for extensive-stage small cell lung cancer
Share
Tweet
Linkedin
Email
Print
On March 27, 2020, the Food and Drug Administration approved durvalumab (IMFINZI, AstraZeneca) in combination with etoposide and either carboplatin or cisplatin as first-line treatment of patients with extensive-stage small cell lung cancer (ES-SCLC).
Efficacy of this combination in patients with previously untreated ES-SCLC was investigated in CASPIAN, a randomized, multicenter, active-controlled, open-label, trial (NCT03043872). The evaluation was based on the comparison of patients randomized to durvalumab plus chemotherapy vs. chemotherapy alone. The major efficacy outcome measure was overall survival (OS). Additional efficacy outcome measures were investigator-assessed progression-free survival (PFS) and objective response rate (ORR), per RECIST v1.1. 
Median OS was 13.0 months (95% CI: 11.5, 14.8) in the durvalumab plus chemotherapy arm compared with 10.3 months (95% CI: 9.3, 11.2) in the chemotherapy alone arm (hazard ratio 0.73; 95% CI: 0.59, 0.91; p=0.0047).
Investigator-assessed PFS (96% of total planned events) showed a HR of 0.78 (95% CI: 0.65, 0.94), with median PFS of 5.1 months (95% CI: 4.7, 6.2) in the durvalumab plus chemotherapy arm and 5.4 months (95% CI: 4.8, 6.2) in the chemotherapy alone arm. The investigator-assessed confirmed ORR was 68% (95% CI: 62%, 73%) in the durvalumab plus chemotherapy arm and 58% (95% CI: 52%, 63%) in the chemotherapy alone arm.
The most common adverse reactions (≥20%) in patients with ES-SCLC were nausea, fatigue/asthenia, and alopecia.
For ES-SCLC, durvalumab is to be administered prior to chemotherapy on the same day. The recommended durvalumab dose when administered with etoposide and either carboplatin or cisplatin is 1500 mg every 3 weeks prior to chemotherapy and then every 4 weeks as a single agent.
View full prescribing information for IMFINZI.
This review used the Assessment Aid, a voluntary submission from the applicant to facilitate the FDA’s assessment.
FDA granted this application priority review and granted durvalumab orphan drug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For information on the COVID-19 pandemic, see the following resources:
FDA: Coronavirus Disease 2019 (COVID-19)
NCI: Coronavirus: What People With Cancer Should Know
CDC: Coronavirus (COVID-19)
Follow the Oncology Center of Excellence on Twitter @FDAOncology.
Content current as of:
03/30/2020
Regulated Product(s)
Drugs
Resources for Information | Approved Drugs
Drug Information Soundcast in Clinical Oncology (D.I.S.C.O.)
Approved Drug Products with Therapeutic Equivalence Evaluations (Orange Book) Short Description</t>
  </si>
  <si>
    <t xml:space="preserve">ID_382</t>
  </si>
  <si>
    <t xml:space="preserve">Food and Drug Administration granted accelerated approval to the combination of nivolumab and ipilimumab (OPDIVO and YERVOY, Bristol-Myers Squibb Co.) for patients with hepatocellular carcinoma (HCC) who have been previously treated with sorafenib. More Information. March 10, 2020</t>
  </si>
  <si>
    <t xml:space="preserve">https://wayback.archive-it.org/7993/20201219232235/https%3A//www.fda.gov/drugs/resources-information-approved-drugs/fda-grants-accelerated-approval-nivolumab-and-ipilimumab-combination-hepatocellular-carcinoma</t>
  </si>
  <si>
    <t xml:space="preserve">FDA grants accelerated approval to nivolumab and ipilimumab combination for hepatocellular carcinoma
Share
Tweet
Linkedin
Email
Print
On March 10, 2020, the Food and Drug Administration granted accelerated approval to the combination of nivolumab and ipilimumab (OPDIVO and YERVOY, Bristol-Myers Squibb Co.) for patients with hepatocellular carcinoma (HCC) who have been previously treated with sorafenib.
Efficacy of the combination was investigated in Cohort 4 of CHECKMATE-040, (NCT01658878) a multicenter, multiple cohort, open-label trial conducted in patients with HCC who progressed on or were intolerant to sorafenib. A total of 49 patients received nivolumab 1 mg/kg in combination with ipilimumab 3 mg/kg every 3 weeks for four doses, followed by single-agent nivolumab 240 mg every 2 weeks until disease progression or unacceptable toxicity.
The main efficacy outcome measures were overall response rate and duration of response as determined by blinded independent central review (BICR) using RECIST v1.1. ORR was 33% (n=16; 95% CI: 20, 48), with 4 complete responses and 12 partial responses. Response duration ranged from 4.6 to 30.5+ months, with 31% of responses lasting at least 24 months.
The most common adverse reactions (³20%) with nivolumab in combination with ipilimumab are: fatigue, diarrhea, rash, pruritus, nausea, musculoskeletal pain, pyrexia, cough, decreased appetite, vomiting, abdominal pain, dyspnea, upper respiratory tract infection, arthralgia, headache, hypothyroidism, decreased weight, and dizziness.
For HCC, the recommended doses are nivolumab 1 mg/kg followed by ipilimumab 3 mg/kg on the same day every 3 weeks for 4 doses, then nivolumab 240 mg every 2 weeks or 480 mg every 4 weeks.
View full prescribing information:
OPDIVO
YERVOY
This indication is approved under accelerated approval based on overall response rate and duration of response. Continued approval for this indication may be contingent upon verification and description of clinical benefit in confirmatory trials.
This review used the Assessment Aid, a voluntary submission from the applicant to facilitate the FDA’s assessment.
FDA had previously granted Breakthrough Therapy Designation for this indication and the application received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03/11/2020
Regulated Product(s)
Drugs
Prescription Drugs
Resources for Information | Approved Drugs
Drug Information Soundcast in Clinical Oncology (D.I.S.C.O.)
Approved Drug Products with Therapeutic Equivalence Evaluations (Orange Book) Short Description</t>
  </si>
  <si>
    <t xml:space="preserve">ID_383</t>
  </si>
  <si>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</si>
  <si>
    <t xml:space="preserve">https://wayback.archive-it.org/7993/20201219232235/https%3A//www.fda.gov/drugs/development-approval-process-drugs/fda-approves-isatuximab-irfc-multiple-myeloma</t>
  </si>
  <si>
    <t xml:space="preserve">FDA approves isatuximab-irfc for multiple myeloma
Share
Tweet
Linkedin
Email
Print
On March 2, 2020, the Food and Drug Administration approved isatuximab-irfc (SARCLISA, sanofi-aventis U.S. LLC) in combination with pomalidomide and dexamethasone for adult patients with multiple myeloma who have received at least two prior therapies including lenalidomide and a proteasome inhibitor.
ICARIA-MM (NCT02990338), a multicenter, multinational, randomized, open-label, two-arm, phase 3 study in 307 patients with relapsed and refractory multiple myeloma who had received at least two prior therapies including lenalidomide and a proteasome inhibitor. Patients were randomized (1:1) to receive either isatuximab-irfc with pomalidomide and low-dose dexamethasone (Isa-Pd,
154 patients) or pomalidomide and low-dose dexamethasone (Pd, 153 patients).
The main efficacy outcome measure was progression-free survival (PFS) assessed by an independent committee based on central laboratory data for M-protein and central radiologic imaging review using International Myeloma Working Group criteria. The improvement in PFS represented a 40% reduction in the risk of disease progression or death in patients treated with Isa-Pd (HR 0.596; 95% CI: 0.44-0.81; p=0.0010). Median PFS for the patients who received Isa-Pd was 11.53 months (95% CI: 8.94-13.9) vs 6.47 months (95% CI: 4.47-8.28) for those who received Pd.
The most common adverse reactions (≥20% of patients) were neutropenia, infusion-related reactions, pneumonia, upper respiratory tract infection, and diarrhea.
The recommended isatuximab-irfc dose is 10 mg/kg as an intravenous infusion every week for 4 weeks followed by every 2 weeks in combination with pomalidomide and dexamethasone until disease progression or unacceptable toxicity.
View full prescribing information for SARCLISA.
This review used the Assessment Aid, a voluntary submission from the applicant to facilitate the FDA’s assessment. This application was approved approximately 3 months prior to the FDA goal date.
Isatuximab-irfc was granted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03/02/2020
Regulated Product(s)
Drugs
Development &amp; Approval Process | Drugs
Clinical Data Summary Pilot Program
Drug Development Tools | DDTs
Guidance Documents for Drug Applications
Laws, Regulations, Policies and Procedures for Drug Applications
Drug Development Tool (DDT) Qualification Programs
CDER Small Business &amp; Industry Assistance (SBIA)
Conducting Clinical Trials
Development Resources
Drug Approvals and Databases
Forms &amp; Submission Requirements
How Drugs are Developed and Approved
New Drugs at FDA: CDER’s New Molecular Entities and New Therapeutic Biological Products
Pharmaceutical Quality Resources</t>
  </si>
  <si>
    <t xml:space="preserve">ID_384</t>
  </si>
  <si>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</si>
  <si>
    <t xml:space="preserve">https://wayback.archive-it.org/7993/20201219232235/https%3A//www.fda.gov/drugs/resources-information-approved-drugs/fda-approves-neratinib-metastatic-her2-positive-breast-cancer</t>
  </si>
  <si>
    <t xml:space="preserve">FDA approves neratinib for metastatic HER2-positive breast cancer
Share
Tweet
Linkedin
Email
Print
On February 25, 2020, the Food and Drug Administration approved neratinib (NERLYNX, Puma Biotechnology, Inc.) in combination with capecitabine for adult patients with advanced or metastatic HER2-positive breast cancer who have received two or more prior anti-HER2 based regimens in the metastatic setting.
Efficacy of neratinib with capecitabine was investigated in NALA (NCT01808573), a randomized, multicenter, open-label clinical trial in 621 patients with metastatic HER2-positive breast cancer who received two or more prior anti-HER2 based regimens in the metastatic setting. Patients were randomized (1:1) to receive neratinib 240 mg orally once daily on days 1-21 with capecitabine 750 mg/m2 given orally twice daily on days 1-14 for each 21-day cycle (n=307) or lapatinib 1250 mg orally once daily on days 1-21 with capecitabine 1000 mg/m2 given orally twice daily on days 1-14 for each 21-day cycle (n=314). Patients were treated until disease progression or unacceptable toxicity.
The primary efficacy outcome measures were progression-free survival (PFS), assessed by a blinded independent central review per RECIST v1.1, and overall survival (OS). Key secondary outcome measures were objective response rate (ORR) and response duration. Median PFS was 5.6 months (95% CI: 4.9, 6.9) for patients who received neratinib with capecitabine and 5.5 months (95% CI: 4.3, 5.6) for those receiving lapatinib with capecitabine (hazard ratio 0.76; 95% CI: 0.63, 0.93; p=0.0059). The PFS rate at 12 months was 29% (95% CI: 23, 35) vs 15% (95% CI: 10, 20), respectively.
Median OS was 21 months (95% CI: 17.7, 23.8) for patients receiving neratinib with capecitabine compared to 18.7 months (95% CI: 15.5, 21.2) for those receiving lapatinib plus capecitabine (HR 0.88; 95% CI: 0.72, 1.07; p=0.2086). The ORR was 32.8% (95% CI: 27.1, 38.9) vs 26.7% (95% CI: 21.5, 32.4), respectively. Median response duration was 8.5 (95% CI: 5.6, 11.2) vs 5.6 months (95% CI: 4.2, 6.4), respectively.
The most common adverse reactions of any grade (&gt;5%) in the neratinib plus capecitabine arm were diarrhea, nausea, vomiting, decreased appetite, constipation, fatigue/asthenia, weight decreased, dizziness, back pain, arthralgia, urinary tract infection, upper respiratory tract infection, abdominal distention, renal impairment, and muscle spasms. The most frequently reported Grade 3 or 4 adverse reactions were diarrhea, nausea, vomiting, fatigue and decreased appetite.
The recommended neratinib dose for advanced or metastatic breast cancer is 240 mg (6 tablets) given orally once daily with food on days 1-21 of a 21-day cycle plus capecitabine (750 mg/m2 given orally twice daily) on days 1-14 of a 21-day cycle until disease progression or unacceptable toxicities.
View full prescribing information for NERLYNX.
This review used the Assessment Aid, a voluntary submission from the applicant to facilitate the FDA’s assessment. This application was approved 2 months prior to the FDA goal date.
Neratinib was granted Fast Track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02/26/2020
Regulated Product(s)
Drugs
Resources for Information | Approved Drugs
Drug Information Soundcast in Clinical Oncology (D.I.S.C.O.)
Approved Drug Products with Therapeutic Equivalence Evaluations (Orange Book) Short Description</t>
  </si>
  <si>
    <t xml:space="preserve">ID_392</t>
  </si>
  <si>
    <t xml:space="preserve">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</si>
  <si>
    <t xml:space="preserve">https://wayback.archive-it.org/7993/20201219232235/https%3A//www.fda.gov/drugs/resources-information-approved-drugs/fda-approves-atezolizumab-nab-paclitaxel-and-carboplatin-metastatic-nsclc-without-egfralk</t>
  </si>
  <si>
    <t xml:space="preserve">FDA approves atezolizumab with nab-paclitaxel and carboplatin for metastatic NSCLC without EGFR/ALK aberrations
Share
Tweet
Linkedin
Email
Print
On December 3, 2019,the Food and Drug Administration approved atezolizumab (TECENTRIQ, Genentech Inc.) in combination with paclitaxel protein-bound and carboplatin for the first-line treatment of adult patients with metastatic non-squamous non-small cell lung cancer (NSCLC) with no EGFR or ALK genomic tumor aberrations.
Efficacy was evaluated in IMpower130 (NCT02367781), a multicenter, randomized (2:1), open-label trial in patients with stage IV non-squamous NSCLC who had received no prior chemotherapy for metastatic disease, but could have received prior EGFR or ALK kinase inhibitor, if appropriate. The trial randomized 724patients (ITT) to receive atezolizumab, paclitaxel protein-bound, and carboplatin, followed by single-agent atezolizumab or to receive paclitaxel protein-bound and carboplatin, followed by maintenance pemetrexed at the investigator’s discretion (control).
The primary efficacy outcome measures were progression-free survival (PFS) by RECIST v1.1 and overall survival (OS) in the subpopulation of patients documented to have no EGFR or ALK genomic tumor aberrations (ITT-WT). In the primary analysis population (ITT-WT, N=681), the estimated median PFS was 7.2 months (95% CI: 6.7, 8.3) for the atezolizumab arm compared to 6.5 months (95% CI: 5.6, 7.4) for the control arm(HR 0.75; 95% CI: 0.63, 0.91; p=0.0024). Median OS were 18.6 months (95% CI: 15.7, 21.1) and 13.9 months (95% CI: 12.0, 18.7), respectively (HR 0.80; 95% CI: 0.64, 0.99; p=0.0384). 
The most common adverse reactions (reported in ≥ 20% of patients) of atezolizumab when administered in combination with other antineoplastic drugs in patients with NSCLC and SCLC were fatigue/asthenia, nausea, alopecia, constipation, diarrhea, and decreased appetite.
The recommended atezolizumab dose for this use is 1200 mg as an intravenous infusion every 3 weeks. When atezolizumab is administered on the same day as chemotherapy, atezolizumab should be given first.
View full prescribing information for TECENTRIQ.
Healthcare professionals should report all serious adverse events suspected to be associated with the use of any medicine and device to FDA’s MedWatch Reporting System or by calling 1-800-FDA-1088.
For assistance with single-patient INDs for investigational oncology products, healthcare professionals may contact OCE’s Project Facilitate at 240-402-0004 or email OncProjectFacilitate@fda.hhs.gov.
Follow the Oncology Center of Excellence on Twitter @FDAOncology.
Content current as of:
12/05/2019
Regulated Product(s)
Drugs
Resources for Information | Approved Drugs
Drug Information Soundcast in Clinical Oncology (D.I.S.C.O.)
Approved Drug Products with Therapeutic Equivalence Evaluations (Orange Book) Short Description</t>
  </si>
  <si>
    <t xml:space="preserve">ID_401</t>
  </si>
  <si>
    <t xml:space="preserve">FDA approved daratumumab (DARZALEX, Janssen) for adult patients with multiple myeloma in combination with bortezomib, thalidomide, and dexamethasone in newly diagnosed patients who are eligible for autologous stem cell transplant (ASCT). More Information. September 26, 2019.</t>
  </si>
  <si>
    <t xml:space="preserve">https://wayback.archive-it.org/7993/20201219232235/https%3A//www.fda.gov/drugs/resources-information-approved-drugs/fda-approves-daratumumab-transplant-eligible-multiple-myeloma</t>
  </si>
  <si>
    <t xml:space="preserve">FDA approves daratumumab for transplant-eligible multiple myeloma
Share
Tweet
Linkedin
Email
Print
On September 26, 2019, the Food and Drug Administration approved daratumumab (DARZALEX, Janssen) for adult patients with multiple myeloma in combination with bortezomib, thalidomide, and dexamethasone in newly diagnosed patients who are eligible for autologous stem cell transplant (ASCT).
Efficacy was investigated in CASSIOPEIA (NCT02541383), an open-label, randomized, active-controlled phase 3 study comparing induction and consolidation treatment with daratumumab 16 mg/kg in combination with bortezomib, thalidomide and dexamethasone (DVTd) to treatment with bortezomib, thalidomide and dexamethasone (VTd) in patients with newly diagnosed multiple myeloma eligible for ASCT.
Approval is based on data from CASSIOPEIA, including progression-free survival (PFS), stringent complete response (sCR) at 100 days post-ASCT, and CR rate at day 100 post-ASCT. The trial demonstrated an improvement in PFS in the DVTd arm as compared to the VTd arm; with a median follow up of 18.8 months, the median PFS had not been reached in either arm. Treatment with DVTd resulted in a reduction in the risk of progression or death by 53% compared to VTd alone (HR=0.47; 95% CI: 0.33, 0.67; p&lt;0.0001).The sCR rate at Day 100 post-ASCT was 28.9% in the DVTd arm and 20.3% in the VTd arm.
In patients with newly diagnosed multiple myeloma who received daratumumab in combination with bortezomib, thalidomide and dexamethasone, the most frequent (≥20%) adverse reactions were infusion reactions, peripheral sensory neuropathy, constipation, asthenia, nausea, peripheral edema, neutropenia, thrombocytopenia, pyrexia and paresthesia. Adverse reactions that occurred with at least 5% greater frequency in the DVTd arm were infusion reactions, nausea, neutropenia, thrombocytopenia, lymphopenia and cough. There were no significant differences in the number or type of serious adverse events in the two treatment arms.
The recommended daratumumab dose is 16 mg/kg actual body weight.
View full prescribing information for DARZALEX.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09/26/2019
Regulated Product(s)
Drugs
Resources for Information | Approved Drugs
Drug Information Soundcast in Clinical Oncology (D.I.S.C.O.)
Approved Drug Products with Therapeutic Equivalence Evaluations (Orange Book) Short Description</t>
  </si>
  <si>
    <t xml:space="preserve">ID_403</t>
  </si>
  <si>
    <t xml:space="preserve">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</si>
  <si>
    <t xml:space="preserve">https://wayback.archive-it.org/7993/20201219232235/https%3A//www.fda.gov/drugs/resources-information-approved-drugs/simultaneous-review-decisions-pembrolizumab-plus-lenvatinib-australia-canada-and-us</t>
  </si>
  <si>
    <t xml:space="preserve">Simultaneous review decisions for pembrolizumab plus lenvatinib in Australia, Canada and US
Share
Tweet
Linkedin
Email
Print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
Resources for Information | Approved Drugs
Drug Information Soundcast in Clinical Oncology (D.I.S.C.O.)
Approved Drug Products with Therapeutic Equivalence Evaluations (Orange Book) Short Description</t>
  </si>
  <si>
    <t xml:space="preserve">ID_409</t>
  </si>
  <si>
    <t xml:space="preserve">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</si>
  <si>
    <t xml:space="preserve">https://wayback.archive-it.org/7993/20201219232235/https%3A//www.fda.gov/drugs/resources-information-approved-drugs/fda-grants-accelerated-approval-selinexor-multiple-myeloma</t>
  </si>
  <si>
    <t xml:space="preserve">FDA grants accelerated approval to selinexor for multiple myeloma
Share
Tweet
Linkedin
Email
Print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
Resources for Information | Approved Drugs
Drug Information Soundcast in Clinical Oncology (D.I.S.C.O.)
Approved Drug Products with Therapeutic Equivalence Evaluations (Orange Book) Short Description</t>
  </si>
  <si>
    <t xml:space="preserve">ID_410</t>
  </si>
  <si>
    <t xml:space="preserve">FDA approved daratumumab (DARZALEX, Janssen Biotech, Inc.) in combination with lenalidomide and dexamethasone for patients with newly diagnosed multiple myeloma who are ineligible for autologous stem cell transplant. More Information. June 27,2019</t>
  </si>
  <si>
    <t xml:space="preserve">https://wayback.archive-it.org/7993/20201219232235/https%3A//www.fda.gov/drugs/resources-information-approved-drugs/fda-approves-daratumumab-multiple-myeloma-ineligible-autologous-stem-cell-transplant</t>
  </si>
  <si>
    <t xml:space="preserve">FDA approves daratumumab for multiple myeloma ineligible for autologous stem cell transplant
Share
Tweet
Linkedin
Email
Print
On June 27, 2019, the Food and Drug Administration approved daratumumab (DARZALEX, Janssen Biotech, Inc.) in combination with lenalidomide and dexamethasone for patients with newly diagnosed multiple myeloma who are ineligible for autologous stem cell transplant.
Approval was based on MAIA (NCT02252172), an open-label, randomized (1:1), active-controlled phase 3 study, comparing dartumumab (16 mg/kg) in combination with lenalidomide and low-dose dexamethasone (DRd) to lenalidomide and low-dose dexamethasone (Rd), in 737 patients with newly diagnosed multiple myeloma who were ineligible for autologous stem cell transplant.
The trial demonstrated an improvement in progression-free survival (PFS) in the DRd arm compared with the Rd arm. The median PFS had not been reached in the DRd arm and was 31.9 months in the Rd arm (HR 0.56; 95% CI: 0.43, 0.73; p&lt;0.0001). The median time to response was 1.05 months (range: 0.2 to 12.1 months) in the DRd group and 1.05 months (range: 0.3 to 15.3 months) in the Rd group. The median response duration had not been reached in the DRd group and was 34.7 months (95% CI: 30.8, not estimable) in the Rd group.
Daratumumab can cause severe and/or serious infusion reactions, including anaphylactic reactions. Approximately half of all patients in clinical trials experienced an infusion reaction. Patients should be pre‑medicated with antihistamines, antipyretics and corticosteroids. Frequently monitor patients during the entire infusion is recommended.
In newly diagnosed multiple myeloma patients who received daratumumab in combination with lenalidomide and dexamethasone, the most frequent (≥20%) adverse reactions were infusion reactions, diarrhea, constipation, nausea, peripheral edema, fatigue, back pain, asthenia, pyrexia, upper respiratory tract infection, bronchitis, pneumonia, decreased appetite, muscle spasms, peripheral sensory neuropathy, dyspnea and cough.
The recommended daratumumab dose is 16 mg/kg actual body weight. View full prescribing information for drugs used in combination and schedule.
This application used the Real-Time Oncology Review. FDA granted this application priority review.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06/28/2019
Regulated Product(s)
Drugs
Resources for Information | Approved Drugs
Drug Information Soundcast in Clinical Oncology (D.I.S.C.O.)
Approved Drug Products with Therapeutic Equivalence Evaluations (Orange Book) Short Description</t>
  </si>
  <si>
    <t xml:space="preserve">ID_413</t>
  </si>
  <si>
    <t xml:space="preserve">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</si>
  <si>
    <t xml:space="preserve">https://wayback.archive-it.org/7993/20201219232235/https%3A//www.fda.gov/drugs/resources-information-approved-drugs/fda-approves-polatuzumab-vedotin-piiq-diffuse-large-b-cell-lymphoma</t>
  </si>
  <si>
    <t xml:space="preserve">FDA approves polatuzumab vedotin-piiq for diffuse large B-cell lymphoma
Share
Tweet
Linkedin
Email
Print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
Resources for Information | Approved Drugs
Drug Information Soundcast in Clinical Oncology (D.I.S.C.O.)
Approved Drug Products with Therapeutic Equivalence Evaluations (Orange Book) Short Description</t>
  </si>
  <si>
    <t xml:space="preserve">ID_415</t>
  </si>
  <si>
    <t xml:space="preserve">FDA approved lenalidomide (REVLIMID, Celgene Corp.) in combination with a rituximab product for previously treated follicular lymphoma (FL) and previously treated marginal zone lymphoma (MZL). More Information. May 28, 2019</t>
  </si>
  <si>
    <t xml:space="preserve">https://wayback.archive-it.org/7993/20201219232235/https%3A//www.fda.gov/drugs/resources-information-approved-drugs/fda-approves-lenalidomide-follicular-and-marginal-zone-lymphoma</t>
  </si>
  <si>
    <t xml:space="preserve">FDA approves lenalidomide for follicular and marginal zone lymphoma
Share
Tweet
Linkedin
Email
Print
On May 28, 2019, the Food and Drug Administration approved lenalidomide (REVLIMID®, Celgene Corp.) in combination with a rituximab product for previously treated follicular lymphoma (FL) and previously treated marginal zone lymphoma (MZL).
Approval was based on two clinical trials: AUGMENT (NCT01938001) and MAGNIFY (NCT01996865). In AUGMENT, 358 patients with relapsed or refractory FL or MZL were randomized (1:1) to receive lenalidomide and rituximab or rituximab and placebo. In the single-arm component of MAGNIFY, 232 patients with relapsed or refractory FL, MZL, or mantle cell lymphoma received 12 induction cycles of lenalidomide and rituximab.
In AUGMENT, the primary endpoint was progression-free survival (PFS) in the intent-to-treat population, as determined by an independent review committee (IRC). Median PFS was 39.4 months (95% CI: 22.9, NE) in the lenalidomide arm and 14.1 months (95% CI: 11.4, 16.7) in the placebo-containing arm (HR 0.46; 95% CI: 0.34, 0.62; p&lt;0.0001). The objective response rate (ORR) by IRC assessment for patients with follicular lymphoma was 80% (118/147; 95% CI: 73%, 86%) in the lenalidomide arm compared with 55.4% (82/148; 95% CI: 47%, 64%) in the control arm. For patients with marginal zone lymphoma, the ORR by IRC assessment was 65% (20/31; 95% CI: 45%, 81%) compared with 44% (14/32; 95% CI: 26%, 62%), respectively.
In MAGNIFY, the ORR by investigator assessment was 59% (104/177; 95% CI: 51%, 66%) for patients with follicular lymphoma. Median response duration was not reached with a median follow-up of 7.9 months (95% CI: 4.6, 9.2). For patients with marginal zone lymphoma, the ORR by investigator assessment was 51% (23/45; 95% CI: 36%, 66%). Median response duration was not reached with a median follow-up of 11.5 months (95% CI: 8.0, 18.9).
Across both trials, the most common adverse reactions occurring in at least 20% of patients were neutropenia, fatigue, diarrhea, constipation, nausea, and cough.
The prescribing information includes a Boxed Warning alerting health care professionals and patients about the risk of embryo-fetal toxicity, hematologic toxicity, and venous and arterial thromboembolism which may be life-threatening or fatal.
The recommended lenalidomide dose for FL or MZL is 20 mg once daily orally on days 1-21 of repeated 28-day cycles for up to 12 cycles.
View full prescribing information for REVLIMID.
FDA granted this application priority review and orphan drug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</si>
  <si>
    <t xml:space="preserve">ID_416</t>
  </si>
  <si>
    <t xml:space="preserve">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</si>
  <si>
    <t xml:space="preserve">https://wayback.archive-it.org/7993/20201219232235/https%3A//www.fda.gov/drugs/resources-information-approved-drugs/fda-approves-alpelisib-metastatic-breast-cancer</t>
  </si>
  <si>
    <t xml:space="preserve">FDA approves alpelisib for metastatic breast cancer
Share
Tweet
Linkedin
Email
Print
On May 24, 2019, the Food and Drug Administration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Today, the FDA also approved the companion diagnostic test, therascreen® PIK3CA RGQ PCR Kit, (QIAGEN Manchester, Ltd.), to select patients who have PIK3CA mutations in tumor tissue specimens and/or in circulating tumor DNA (ctDNA) isolated from plasma specimens. If the test is negative for PIK3CA mutations in plasma, patients should undergo testing for PIK3CA mutations in tumor tissue.
Approval was based on SOLAR-1 (NCT02437318), a phase 3, randomized, double-blind, placebo-controlled trial of alpelisib plus fulvestrant versus placebo plus fulvestrant in 572 patients including postmenopausal women, and men, with HR-positive, HER2-negative, advanced or metastatic breast cancer whose disease had progressed or on or after receiving an aromatase inhibitor.
The primary endpoint was investigator-assessed progression-free survival (PFS) in the cohort with a PIK3CA mutation. The estimated median PFS by investigator assessment in the alpelisib plus fulvestrant arm was 11.0 months (95% CI: 7.5, 14.5) compared with 5.7 months (95% CI: 3.7, 7.4) in the placebo plus fulvestrant arm (HR 0.65; 95% CI: 0.50, 0.85; p=0.001). Overall survival data were not mature at the time of analysis. No PFS benefit was observed in patients whose tumors did not have a PIK3CA mutation (HR = 0.85; 95% CI: 0.58, 1.25).
The most common adverse reactions including laboratory abnormalities on the alpelisib plus fulvestrant arm were increased glucose, increased creatinine, diarrhea, rash, decreased lymphocyte count, increased gamma glutamyl transferase, nausea, increased alanine aminotransferase, fatigue, decreased hemoglobin, increased lipase, decreased appetite, stomatitis, vomiting, decreased weight, decreased calcium, decreased glucose, prolonged activated partial thromboplastin time (aPTT), and alopecia.
The recommended alpelisib dose is 300 mg (two 150 mg film-coated tablets) taken orally, once daily, with food. When given with alpelisib, the recommended dose of fulvestrant is 500 mg administered intramuscularly on days 1, 15, and 29, and once monthly thereafter.
View full prescribing information for PIQRAY.
This is the first new drug application (NDA) for a new molecular entity approved under the Real-Time Oncology Review (RTOR) pilot program. This application also used the Assessment Aid (AAid). With these two pilot programs, today’s approval of Piqray comes approximately 3 months ahead of the PDUFA VI deadline of August 18, 2019.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05/28/2019
Regulated Product(s)
Drugs
Resources for Information | Approved Drugs
Drug Information Soundcast in Clinical Oncology (D.I.S.C.O.)
Approved Drug Products with Therapeutic Equivalence Evaluations (Orange Book) Short Description</t>
  </si>
  <si>
    <t xml:space="preserve">ID_420</t>
  </si>
  <si>
    <t xml:space="preserve">FDA approved avelumab (BAVENCIO, EMD Serono, Inc.) in combination with axitinib for first-line treatment of patients with advanced renal cell carcinoma (RCC). More Information. May 14, 2019</t>
  </si>
  <si>
    <t xml:space="preserve">https://wayback.archive-it.org/7993/20201219232235/https%3A//www.fda.gov/drugs/resources-information-approved-drugs/fda-approves-avelumab-plus-axitinib-renal-cell-carcinoma</t>
  </si>
  <si>
    <t xml:space="preserve">FDA approves avelumab plus axitinib for renal cell carcinoma
Share
Tweet
Linkedin
Email
Print
On May 14, 2019, the Food and Drug Administration approved avelumab (BAVENCIO, EMD Serono, Inc.) in combination with axitinib for first-line treatment of patients with advanced renal cell carcinoma (RCC).
Approval was based on JAVELIN Renal 101 (NCT02684006), a randomized, multicenter, open-label trial of avelumab plus axitinib in 886 patients with untreated advanced RCC regardless of tumor PD-L1 expression. Patients were randomized to receive either avelumab 10 mg/kg intravenous infusion every 2 weeks in combination with axitinib 5 mg twice daily orally or sunitinib 50 mg once daily orally for 4 weeks followed by 2 weeks off until radiographic progression or unacceptable toxicity.
The main efficacy endpoints were progression-free survival (PFS), assessed by blinded independent central review using RECIST 1.1, and overall survival (OS) in patients with PD-L1-positive tumors. Secondary endpoints were PFS and OS in the total population. A statistically significant improvement in PFS was demonstrated in patients with PD-L1-positive tumors (HR 0.61; 95% CI: 0.48, 0.79; p=0.0001). A statistically significant improvement in PFS in the total population was also demonstrated (HR 0.69; 95% CI: 0.56, 0.84; p=0.0002) at interim analysis. Median PFS in the total population was 13.8 months for patients on the avelumab plus axitinib arm and 8.4 months for patients who received sunitinib. With a median overall survival follow-up of 19 months, OS data were immature with 27% deaths in the intent-to-treat population.
The most common adverse reactions of avelumab in combination with axitinib in ≥ 20% of patients with RCC were diarrhea, fatigue, hypertension, musculoskeletal pain, nausea, mucositis, palmar-plantar erythrodysesthesia, dysphonia, decreased appetite, hypothyroidism, rash, hepatotoxicity, cough, dyspnea, abdominal pain, and headache. Grade 3 or 4 hepatotoxicity occurred in 9% of patients and resulted in in permanent discontinuation of avelumab or axitinib in 7%. Major cardiac adverse events occurred in 7% of patients treated with the combination.
The recommended avelumab dose for advanced RCC is 800 mg as an intravenous infusion every 2 weeks in combination with axitinib 5 mg orally twice daily.
View full prescribing information for BAVENCIO.
This application used the Assessment Aid pilot program.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05/15/2019
Regulated Product(s)
Drugs
Resources for Information | Approved Drugs
Drug Information Soundcast in Clinical Oncology (D.I.S.C.O.)
Approved Drug Products with Therapeutic Equivalence Evaluations (Orange Book) Short Description</t>
  </si>
  <si>
    <t xml:space="preserve">ID_424</t>
  </si>
  <si>
    <t xml:space="preserve">FDA approved pembrolizumab (KEYTRUDA, Merck &amp; Co. Inc.) plus axitinib for the first-line treatment of patients with advanced renal cell carcinoma (RCC).More Information, April 19, 2019</t>
  </si>
  <si>
    <t xml:space="preserve">https://wayback.archive-it.org/7993/20201219232235/https%3A//www.fda.gov/drugs/drug-approvals-and-databases/fda-approves-pembrolizumab-plus-axitinib-advanced-renal-cell-carcinoma</t>
  </si>
  <si>
    <t xml:space="preserve">FDA approves pembrolizumab plus axitinib for advanced renal cell carcinoma
Share
Tweet
Linkedin
Email
Print
On April 19, 2019, the Food and Drug Administration approved pembrolizumab (KEYTRUDA, Merck &amp; Co. Inc.) plus axitinib for the first-line treatment of patients with advanced renal cell carcinoma (RCC).
Approval was based on KEYNOTE‑426 (NCT02853331), a randomized, multicenter, open-label trial conducted in 861 patients who had not received systemic therapy for advanced RCC. Patients were enrolled regardless of PD-L1 tumor expression status and were randomly allocated to receive either pembrolizumab 200 mg intravenously every 3 weeks in combination with axitinib 5 mg orally twice daily, or sunitinib 50 mg orally once daily for 4 weeks and then off treatment for 2 weeks. Treatment continued until confirmed disease progression or unacceptable toxicity. Pembrolizumab was received for maximum of 24 months.
The main efficacy measures were overall survival (OS) and progression-free survival (PFS), assessed by blinded independent central review (RECIST 1.1.) The trial demonstrated a statistically significant improvement in OS in a pre-specified interim analysis for patients on the pembrolizumab plus axitinib arm (HR 0.53; 95% CI: 0.38, 0.74; p&lt;0.0001). With deaths reported in 18% of patients, the median OS was not reached in either arm. The 12-month OS rate was 90% in the pembrolizumab plus axitinib arm and 78% for those treated with sunitinib. The trial also demonstrated a PFS improvement for patients receiving pembrolizumab plus axitinib (HR 0.69; 95% CI: 0.57, 0.84; p=0.0001). Median PFS was 15.1 and 11.1 months for those receiving pembrolizumab plus axitinib vs. sunitinib, respectively. 
Grade 3 or 4 hepatotoxicity occurred in 20% of patients. Hepatotoxicity resulted in permanent discontinuation of pembrolizumab or axitinib in 13% of patients. The most common adverse reactions in &gt; 20% of patients who received pembrolizumab plus axitinib were diarrhea, fatigue/asthenia, hypertension, hypothyroidism, decreased appetite, hepatotoxicity, palmar-plantar erythrodysesthesia, nausea, stomatitis/mucosal inflammation, dysphonia, rash, cough, and constipation. 
The recommended pembrolizumab dose for this indication is 200 mg every 3 weeks with axitinib 5 mg orally twice daily.
View full prescribing information for KEYTRUDA.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04/22/2019
Regulated Product(s)
Drugs
Drug Approvals and Databases
Resources for Information | Approved Drugs</t>
  </si>
  <si>
    <t xml:space="preserve">ID_427</t>
  </si>
  <si>
    <t xml:space="preserve">FDA approved atezolizumab (TECENTRIQ, Genentech Inc.) in combination with carboplatin and etoposide, for the first-line treatment of adult patients with extensive-stage small cell lung cancer (ES-SCLC). More Information. March 18, 2019</t>
  </si>
  <si>
    <t xml:space="preserve">https://wayback.archive-it.org/7993/20201219232235/https%3A//www.fda.gov/drugs/drug-approvals-and-databases/fda-approves-atezolizumab-extensive-stage-small-cell-lung-cancer</t>
  </si>
  <si>
    <t xml:space="preserve">FDA approves atezolizumab for extensive-stage small cell lung cancer
Share
Tweet
Linkedin
Email
Print
On March 18, 2019, the Food and Drug Administration approved atezolizumab (TECENTRIQ, Genentech Inc.) in combination with carboplatin and etoposide, for the first-line treatment of adult patients with extensive-stage small cell lung cancer (ES-SCLC).
Approval was based on IMpower133 (NCT02763579), a randomized (1:1), multicenter, double-blind, placebo-controlled trial in 403 patients with ES-SCLC who received no prior chemotherapy for extensive stage disease and had ECOG performance status 0 or 1. Patients were randomized to one of the following:
atezolizumab 1200 mg and carboplatin AUC 5 mg/mL/min on day 1 and etoposide 100 mg/m2 intravenously on days 1, 2 and 3 of each 21-day cycle for a maximum of 4 cycles, followed by atezolizumab 1200 mg once every 3 weeks until disease progression or unacceptable toxicity, or
placebo and carboplatin AUC 5 mg/mL/min on day 1 and etoposide 100 mg/m2 intravenously on days 1, 2, and 3 of each 21-day cycle for a maximum of 4 cycles, followed by placebo once every 3 weeks until disease progression or unacceptable toxicity. 
Major efficacy outcome measures were overall survival (OS) and progression-free survival (PFS) as assessed by investigator per RECIST 1.1 in the intent-to-treat population. Median OS was 12.3 months (10.8, 15.9) for patients receiving atezolizumab with chemotherapy and 10.3 months (9.3, 11.3) for those
receiving placebo with chemotherapy (hazard ratio 0.70; 95% CI: 0.54, 0.91; p=0.0069). Median PFS was 5.2 months (4.4, 5.6) compared with 4.3 months (4.2, 4.5) in the atezolizumab and placebo arms, respectively (HR 0.77; 0.62, 0.96; p=0.0170).
The most common adverse reactions reported in ≥ 20% of patients who received atezolizumab in IMpower133 were fatigue/asthenia, nausea, alopecia, constipation, and decreased appetite.
The recommended atezolizumab dose for patients with ES-SCLC is 1200 mg intravenously over 60 minutes every 3 weeks. When administered on the same day, atezolizumab should be administered prior to chemotherapy. If the first infusion is tolerated, all subsequent infusions may be delivered over 30 minutes.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03/19/2019
Regulated Product(s)
Drugs
Drug Approvals and Databases
Resources for Information | Approved Drugs</t>
  </si>
  <si>
    <t xml:space="preserve">ID_436</t>
  </si>
  <si>
    <t xml:space="preserve">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</si>
  <si>
    <t xml:space="preserve">https://wayback.archive-it.org/7993/20201219232235/https%3A//www.fda.gov/drugs/resources-information-approved-drugs/fda-approves-longer-acting-calaspargase-pegol-mknl-all</t>
  </si>
  <si>
    <t xml:space="preserve">FDA approves longer-acting calaspargase pegol-mknl for ALL
Share
Tweet
Linkedin
Email
Print
On December 20, 2018, the Food and Drug Administration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Approval was based on a demonstration of the achievement and maintenance of nadir serum asparaginase activity above the level of 0.1 U/mL when using calaspargase pegol-mknl, 2500 U/m2 intravenously, every 3 weeks. The pharmacokinetics of calaspargase pegol-mknl were studied when administered in combination with multiagent chemotherapy in 124 patients with B-cell lineage ALL.
The most common (incidence ≥ 10%) grade ≥ 3 adverse reactions were elevated transaminase, increased bilirubin, pancreatitis, and abnormal clotting studies. In a randomized trial, the safety profile of calaspargase pegol-mknl administered every 3 weeks was similar to that of pegaspargase administered every 2 weeks.
The recommended calaspargase pegol-mknl dose is 2,500 units/m2 intravenously administered at a minimum dosing interval of every 21 days.
View full prescribing information for ASPARLAS.
Calaspargase pegol-mknl received FDA orphan product designation.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12/26/2018
Regulated Product(s)
Drugs
Oncology
Resources for Information | Approved Drugs
Drug Information Soundcast in Clinical Oncology (D.I.S.C.O.)
Approved Drug Products with Therapeutic Equivalence Evaluations (Orange Book) Short Description</t>
  </si>
  <si>
    <t xml:space="preserve">ID_441</t>
  </si>
  <si>
    <t xml:space="preserve">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</si>
  <si>
    <t xml:space="preserve">https://wayback.archive-it.org/7993/20201219232235/https%3A//www.fda.gov/drugs/resources-information-approved-drugs/atezolizumab-tecentriq</t>
  </si>
  <si>
    <t xml:space="preserve">Atezolizumab (TECENTRIQ)
Share
Tweet
Linkedin
Email
Print
On October 18, 2016, 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Atezolizumab is a programmed death-ligand 1 (PD-L1) blocking antibody that previously received FDA accelerated approval for the treatment of locally advanced or metastatic urothelial carcinoma that has progressed after platinum-containing chemotherapy.
This approval was based on two international, randomized, open-label clinical trials (OAK and POPLAR) that demonstrated consistent results in efficacy and safety in a total of 1137 patients with NSCLC. Compared with docetaxel, treatment with atezolizumab in the intended patient population in the two trials resulted in a 4.2 and a 2.9 month improvement in overall survival (OS), respectively.
The median OS in OAK was 13.8 months (95% confidence interval [CI] 11.8,15.7) in the atezolizumab arm compared to 9.6 months (95% CI 8.6,11.2) in the docetaxel arm (hazard ratio [HR]=0.74 [95% CI 0.63,0.87]; p=0.0004). The median OS in POPLAR was 12.6 months (95% CI 9.7, 16.0) and 9.7 months (95% CI 8.6, 12.0) (HR=0.69 [95% CI 0.52, 0.92]) for the atezolizumab and docetaxel arms, respectively.
The most common (greater than or equal to 20%) adverse reactions in patients in the primary safety analysis population (POPLAR trial) in patients treated with atezolizumab were fatigue, decreased appetite, dyspnea, cough, nausea, musculoskeletal pain, and constipation. The most common (greater than or equal to 2%) grade 3-4 adverse events in patients treated with atezolizumab were dyspnea, pneumonia, hypoxia, hyponatremia, fatigue, anemia, musculoskeletal pain, AST increase, ALT increase, dysphagia, and arthralgia. Clinically significant immune-related adverse events for patients receiving atezolizumab included pneumonitis, hepatitis, colitis, and thyroid disease.
The recommended atezolizumab dose is 1200 mg administered as an intravenous infusion over 60 minutes every three weeks until disease progression or unacceptable toxicity.
Full prescribing information is available at: http://www.accessdata.fda.gov/drugsatfda_docs/label/2016/761041lbl.pdf
Healthcare professionals should report all serious adverse events suspected to be associated with the use of any medicine and device to FDA’s MedWatch Reporting System by completing a form online athttp://www.fda.gov/medwatch/report.htm, by faxing (1-800-FDA-0178) or mailing the postage-paid address form provided online, or by telephone (1-800-FDA-1088). 
 is a death-ligand 1 (PD-L1) blocking antibody that previously received FDA accelerated approval for the treatment of locally advanced or metastatic urothelial carcinoma that has progressed after platinum-containing chemotherapy. style="&gt; 
&gt;
Content current as of:
10/19/2016
Resources for Information | Approved Drugs
Drug Information Soundcast in Clinical Oncology (D.I.S.C.O.)
Approved Drug Products with Therapeutic Equivalence Evaluations (Orange Book) Short Description</t>
  </si>
  <si>
    <t xml:space="preserve">ID_445</t>
  </si>
  <si>
    <t xml:space="preserve">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</si>
  <si>
    <t xml:space="preserve">https://wayback.archive-it.org/7993/20201219232235/https%3A//www.fda.gov/drugs/resources-information-approved-drugs/fda-approves-venetoclax-cll-or-sll-or-without-17-p-deletion-after-one-prior-therapy</t>
  </si>
  <si>
    <t xml:space="preserve">FDA approves venetoclax for CLL or SLL, with or without 17 p deletion, after one prior therapy
Share
Tweet
Linkedin
Email
Print
On June 8, 2018, the Food and Drug Administration granted regular approval to venetoclax (VENCLEXTA, AbbVie Inc. and Genentech Inc.) for patients with chronic lymphocytic leukemia (CLL) or small lymphocytic lymphoma (SLL), with or without 17p deletion, who have received at least one prior therapy.
Approval was based on MURANO (NCT02005471), a randomized (1:1), multicenter, open-label trial of venetoclax with rituximab (VEN+R) versus bendamustine with rituximab (B+R) in 389 patients with CLL who had received at least one prior line of therapy. Patients in the VEN+R arm completed a 5-week ramp-up venetoclax scheduleand then received venetoclax 400 mg once daily for 24 months measured from the rituximab start date. Rituximab was initiated after venetoclax ramp-up and given for 6 cycles (375 mg/m2 intravenously on cycle 1 day 1 and 500 mg/m2 intravenously on day 1 of cycles 2-6, with a 28-day cycle length). The comparator arm received 6 cycles of B+R (bendamustine 70 mg/m2 on days 1 and 2 of each 28-day cycle and rituximab at the above described dose and schedule).
Efficacy was based on progression-free survival (PFS) as assessed by an Independent Review Committee. After a median follow-up of 23 months, the median PFS was not reached in the VEN+R arm and was 18.1 months (95% CI: 15.8, 22.3) in the B+R arm (HR 0.19; 95% CI: 0.13, 0.28; p0.0001).&gt;
In patients treated with VEN+R, the most common adverse reactions (incidence ≥20%) were neutropenia, diarrhea, upper respiratory tract infection, fatigue, cough, and nausea. Grade 3 or 4 neutropenia developed in 64% of these patients, and grade 4 neutropenia developed in 31%. Serious adverse reactions occurred in 46% of patients. Serious infections developed in 21% of patients, most commonly pneumonia (9%).
Due to rapid reduction in tumor volume, tumor lysis syndrome (TLS) is an important identified risk with venetoclax treatment. See the prescribing information for TLS risk stratification, prophylaxis, and monitoring.
All approved venetoclax regimens begin with a 5-week ramp-up. Full prescribing information is available at: Venclexta PI.
FDA granted venetoclax in combination with rituximab Breakthrough Therapy Designation and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06/08/2018
Resources for Information | Approved Drugs
Drug Information Soundcast in Clinical Oncology (D.I.S.C.O.)
Approved Drug Products with Therapeutic Equivalence Evaluations (Orange Book) Short Description</t>
  </si>
  <si>
    <t xml:space="preserve">ID_446</t>
  </si>
  <si>
    <t xml:space="preserve">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</si>
  <si>
    <t xml:space="preserve">https://wayback.archive-it.org/7993/20201219232235/https%3A//www.fda.gov/drugs/fda-approves-glasdegib-aml-adults-age-75-or-older-or-who-have-comorbidities</t>
  </si>
  <si>
    <t xml:space="preserve">FDA approves glasdegib for AML in adults age 75 or older or who have comorbidities
Share
Tweet
Linkedin
Email
Print
On November 21, 2018, the Food and Drug Administration approved glasdegib (DAURISMO, Pfizer Labs) in combination with low-dose cytarabine (LDAC), for newly-diagnosed acute myeloid leukemia (AML) in patients who are 75 years old or older or who have comorbidities that preclude intensive induction chemotherapy.
Approval was based on a multicenter, open-label, randomized study (BRIGHT AML 1003, NCT01546038) that included 115 patients with newly-diagnosed AML who met at least one of the following criteria: a) age 75 years or older, b) severe cardiac disease, c) baseline Eastern Cooperative Oncology Group performance status of 2, or d) baseline serum creatinine &gt;1.3 mg/dL. Patients were randomized 2:1 to receive glasdegib, 100 mg daily, with LDAC 20 mg subcutaneously twice daily on days 1 to 10 of a 28-day cycle (N=77) or LDAC alone (N=38) in 28-day cycles until disease progression or unacceptable toxicity.
Efficacy was established based on an improvement in overall survival (date of randomization to death from any cause). With a median follow-up of 20 months, median survival was 8.3 months (95% CI: 4.4, 12.2) for the glasdegib + LDAC arm and 4.3 months (95% CI: 1.9, 5.7) for the LDAC alone arm and HR of 0.46 (95% CI: 0.30, 0.71; p=0.0002). 
The most common adverse reactions occurring in ≥ 20% of patients were anemia, fatigue, hemorrhage, febrile neutropenia, musculoskeletal pain, nausea, edema, thrombocytopenia, dyspnea, decreased appetite, dysgeusia, mucositis, constipation, and rash.
The recommended glasdegib dose is 100 mg orally, once daily. DAURISMO has not been studied in patients with the comorbidities of severe renal impairment or moderate-to-severe hepatic impairment.
View full prescribing information for DAURISMO.
FDA granted this application priority review and orphan product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</si>
  <si>
    <t xml:space="preserve">ID_448</t>
  </si>
  <si>
    <t xml:space="preserve">FDA approved brentuximab vedotin (ADCETRIS, Seattle Genetics Inc.) in combination with chemotherapy for previously untreated systemic anaplastic large cell lymphoma or other CD30-expressing peripheral T-cell lymphomas. More information. November 16, 2018 </t>
  </si>
  <si>
    <t xml:space="preserve">https://wayback.archive-it.org/7993/20201219232235/https%3A//www.fda.gov/drugs/fda-approves-brentuximab-vedotin-previously-untreated-salcl-and-cd30-expressing-ptcl</t>
  </si>
  <si>
    <t xml:space="preserve">FDA approves brentuximab vedotin for previously untreated sALCL and CD30-expressing PTCL
Share
Tweet
Linkedin
Email
Print
On November 16, 2018, the Food and Drug Administration approved brentuximab vedotin (ADCETRIS, Seattle Genetics Inc.) in combination with chemotherapy for previously untreated systemic anaplastic large cell lymphoma (sALCL) or other CD30-expressing peripheral T-cell lymphomas (PTCL), including angioimmunoblastic T-cell lymphoma and PTCL not otherwise specified. This is the first FDA approval for previously untreated PTCL including sALCL.
Approval was based on ECHELON-2 (NCT01777152), a double-blind, multicenter trial that randomized 226 patients to brentuximab vedotin plus cyclophosphamide, doxorubicin, and prednisone (CHP) and 226 patients to cyclophosphamide, doxorubicin, vincristine, and prednisone (CHOP).
Efficacy was based on independent review facility-assessed progression-free survival (PFS), defined as time from randomization to progression, death due to any cause, or receipt of subsequent anticancer chemotherapy to treat residual or progressive disease. The median PFS was 48.2 months (95% CI: 35.2, not estimable) for patients on the brentuximab vedotin + CHP arm and 20.8 months (95% CI: 12.7, 47.6) for those on the CHOP arm (hazard ratio 0.71; 95% CI: 0.54, 0.93; p=0.011).
The clinical trial also demonstrated improvement in overall survival (HR 0.66; 95%CI 0.46, 0.95; p=0.024), complete response rates (68% vs 56%, p=0.007), and overall response rates (83% vs 72%, p=0.003).
The most common adverse reactions (incidence ≥ 20%) observed ≥ 2% more in patients receiving brentuximab vedotin + CHP were nausea, diarrhea, fatigue or asthenia, mucositis, pyrexia, vomiting, and anemia. Peripheral neuropathy occurred in 52% of patients on the brentuximab vedotin + CHP arm and 55% on the CHOP arm. 
The recommended brentuximab vedotin dose in combination with chemotherapy for previously untreated PTCL is 1.8 mg/kg (maximum of 180 mg) every 3 weeks for 6 to 8 doses. Administer GCSF prophylaxis starting in cycle 1.
View full prescribing information for ADCETRIS.
FDA used the Real-Time Oncology Review Pilot Program for this application and was able to grant approval less than two weeks after receipt of the complete application.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</si>
  <si>
    <t xml:space="preserve">ID_451</t>
  </si>
  <si>
    <t xml:space="preserve">FDA approved pembrolizumab (KEYTRUDA, Merck &amp; Co. Inc.) in combination with carboplatin and either paclitaxel or nab-paclitaxel as first-line treatment of metastatic squamous non-small cell lung cancer (NSCLC)..More Information. October 30, 2018</t>
  </si>
  <si>
    <t xml:space="preserve">https://wayback.archive-it.org/7993/20201219232235/https%3A//www.fda.gov/drugs/fda-approves-pembrolizumab-combination-chemotherapy-first-line-treatment-metastatic-squamous-nsclc</t>
  </si>
  <si>
    <t xml:space="preserve">FDA approves pembrolizumab in combination with chemotherapy for first-line treatment of metastatic squamous NSCLC
Share
Tweet
Linkedin
Email
Print
On October 30, 2018, the Food and Drug Administration approved pembrolizumab (KEYTRUDA, Merck &amp; Co. Inc.) in combination with carboplatin and either paclitaxel or nab-paclitaxel as first-line treatment of metastatic squamous non-small cell lung cancer (NSCLC).
Approval was based on KEYNOTE-407 (NCT02775435), a randomized, multi-center, double-blind, placebo-controlled trial in 559 patients with metastatic squamous NSCLC, regardless of PD-L1 tumor expression status, who had not previously received systemic therapy for metastatic disease. Patients were randomized (1:1) to pembrolizumab 200 mg or placebo in combination with carboplatin, and investigator’s choice of either paclitaxel every 3 weeks or nab-paclitaxel weekly on a 3-week cycle for 4 cycles followed by pembrolizumab or placebo. Patients continued pembrolizumab or placebo until disease progression, unacceptable toxicity, or a maximum of 24 months. 
The main efficacy outcome measures were overall survival (OS), progression-free survival (PFS) and overall response rate (ORR) as assessed by blinded independent review. The trial demonstrated statistically significant improvements in OS, PFS and ORR for patients receiving pembrolizumab plus chemotherapy compared with those randomized to placebo plus chemotherapy. The median OS was 15.9 and 11.3 months for the pembrolizumab plus chemotherapy and placebo plus chemotherapy arms, respectively (HR 0.64; 95% CI: 0.49, 0.85; p=0.0017). The median PFS was 6.4 and 4.8 months for the pembrolizumab plus chemotherapy and placebo plus chemotherapy arms, respectively (HR 0.56; 95% CI: 0.45, 0.70; p&lt;0.0001). The analysis of ORR was limited to the initial 204 patients randomized. The ORRs were 58% and 35%, favoring the pembrolizumab-containing arm (difference of 23.6%; 95% CI: 9.9, 36.4; p=0.0008). The estimated median response durations were 7.2 and 4.9 months, respectively.
The most common adverse reactions in at least 20% of patients who received pembrolizumab on KEYNOTE-407 were fatigue/asthenia, nausea, constipation, diarrhea, vomiting, pyrexia, decreased appetite, rash, cough, dyspnea, alopecia, and peripheral neuropathy.
The recommended pembrolizumab dose for metastatic squamous NSCLC is 200 mg intravenously every 3 weeks, prior to chemotherapy when given on the same day, until disease progression, unacceptable toxicity, or 24 months after initiation.
View full prescribing information for KEYTRUDA.
FDA granted this application priority review.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
Drugs
Regulatory Science Research and Education
Development &amp; Approval Process | Drugs
Drug Safety and Availability
Emergency Preparedness | Drugs
Guidance, Compliance, &amp; Regulatory Information
News &amp; Events for Human Drugs
Resources for You | Drugs
Science and Research | Drugs</t>
  </si>
  <si>
    <t xml:space="preserve">ID_458</t>
  </si>
  <si>
    <t xml:space="preserve">FDA approved pembrolizumab (KEYTRUDA, Merck &amp; Co., Inc.) in combination with pemetrexed and platinum as first-line treatment of patients with metastatic, non-squamous non-small cell lung cancer (NSqNSCLC), with no EGFR or ALK genomic tumor aberrations. More Information. August 20, 2018.</t>
  </si>
  <si>
    <t xml:space="preserve">https://wayback.archive-it.org/7993/20201219232235/https%3A//www.fda.gov/drugs/approved-drugs/fda-grants-regular-approval-pembrolizumab-combination-chemotherapy-first-line-treatment-metastatic</t>
  </si>
  <si>
    <t xml:space="preserve">FDA grants regular approval for pembrolizumab in combination with chemotherapy for first-line treatment of metastatic nonsquamous NSCLC
Share
Tweet
Linkedin
Email
Print
On August 20, 2018, the Food and Drug Administration approved pembrolizumab (KEYTRUDA, Merck &amp; Co., Inc.) in combination with pemetrexed and platinum as first-line treatment of patients with metastatic, non-squamous non-small cell lung cancer (NSqNSCLC), with no EGFR or ALK genomic tumor aberrations.
Pembrolizumab was previously granted accelerated approval for this indication in May 2017 based on improvements in overall response rate and progression-free survival for patients randomized to pembrolizumab administered with pemetrexed and carboplatin as compared with pemetrexed and carboplatin alone in the KEYNOTE-021 study.
Today’s approval represents fulfillment of a postmarketing commitment demonstrating the clinical benefit of this product. This action is based on the results of KEYNOTE-189 (NCT02578680), a randomized, multicenter, double-blind, active controlled study enrolling 616 patients receiving first-line treatment for metastatic NSqNSCLC. Patients were randomized (2:1) to receive pembrolizumab (or placebo) in combination with pemetrexed, and investigator’s choice of either cisplatin or carboplatin every 3 weeks for 4 cycles followed by pembrolizumab (or placebo) and pemetrexed. Treatment with pembrolizumab continued until disease progression, unacceptable toxicity, or a maximum of 24 months.
The primary efficacy outcome measures were overall survival (OS) and progression-free survival (PFS), as assessed by a blinded independent committee review (RECIST 1.1.) 
The trial demonstrated a statistically significant improvement in OS for patients randomized to pembrolizumab and chemotherapy (HR 0.49; 95% CI: 0.38, 0.64; p0.00001)&gt;0.00001).&gt;
The most common adverse reactions reported in ≥20% of patients in KEYNOTE-189 were fatigue/asthenia, nausea, constipation, diarrhea, decreased appetite, rash, vomiting, cough, dyspnea, and pyrexia.
The recommended pembrolizumab dose and schedule for NSqNSCLC is 200 mg as an intravenous infusion over 30 minutes every 3 weeks.
View full prescribing information for KEYTRUDA.
This is the second FDA approval using the Real Time Oncology Review pilot program that enabled the FDA review team to begin analyzing data before the application submission.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08/20/2018
Resources for Information | Approved Drugs
Drug Information Soundcast in Clinical Oncology (D.I.S.C.O.)
Approved Drug Products with Therapeutic Equivalence Evaluations (Orange Book) Short Description</t>
  </si>
  <si>
    <t xml:space="preserve">ID_466</t>
  </si>
  <si>
    <t xml:space="preserve">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</si>
  <si>
    <t xml:space="preserve">https://wayback.archive-it.org/7993/20201219232235/https%3A//www.fda.gov/drugs/approved-drugs/fda-expands-ribociclib-indication-hr-positive-her2-negative-advanced-or-metastatic-breast-cancer</t>
  </si>
  <si>
    <t xml:space="preserve">FDA expands ribociclib indication in HR-positive, HER2-negative advanced or metastatic breast cancer
Share
Tweet
Linkedin
Email
Print
On July 18, 2018, the Food and Drug Administration expanded the indication for ribociclib (Kisqali, Novartis Pharmaceuticals Corporation) in combination with an aromatase inhibitor for pre/perimenopausal women with HR-positive, HER2-negative advanced or metastatic breast cancer, as initial endocrine-based therapy.
FDA also approved ribociclib in combination with fulvestrant for postmenopausal women with HR-positive, HER2-negative advanced or metastatic breast cancer, as initial endocrine-based therapy or following disease progression on endocrine therapy.
Ribociclib was previously approved for postmenopausal women with HR-positive, HER2-negative advanced or metastatic breast cancer in combination with an aromatase inhibitor as initial endocrine therapy. 
The efficacy of ribociclib in combination with an aromatase inhibitor for pre/perimenopausal women was based on MONALEESA-7 (NCT02278120), a randomized, double-blind, placebo-controlled trial. Pre/perimenopausal women were randomized to ribociclib plus either a non-steroidal aromatase inhibitor (NSAI) or tamoxifen and goserelin versus placebo plus either an NSAI or tamoxifen and goserelin. Results from the pre-specified NSAI-only subgroup of 495 pre/peri-menopausal women with HR-positive, HER2-negative, advanced breast cancer who received no prior endocrine therapy for advanced disease showed an estimated median progression-free survival (PFS, RECIST 1.1) of 27.5 months for patients on the ribociclib arm compared with 13.8 months for those on the placebo arm (HR 0.569; 95% CI: 0.436, 0.743). Ribociclib is not indicated for concomitant use with tamoxifen.
The efficacy of ribociclib in combination with fulvestrant was demonstrated in MONALEESA-3 (NCT02422615), a randomized double-blind, placebo-controlled trial of ribociclib in combination with fulvestrant in 726 postmenopausal women with HR-positive, HER2-negative, advanced breast cancer who received no or only one line of prior endocrine treatment. The estimated median PFS was 20.5 months for patients taking ribociclib compared with 12.8 months for those who received placebo (HR 0.593; 95% CI: 0.480, 0.732; p
The most common adverse reactions in at least 20% of patients were neutropenia, nausea, infections, fatigue, diarrhea, leukopenia, vomiting, alopecia, headache, constipation, rash and cough.
The recommended starting ribociclib dose is 600 mg orally (three 200 mg tablets) once daily with or without food for 21 consecutive days followed by 7 days off treatment.
View full prescribing information for Kisqali.
This is the first FDA approval using the Real Time Oncology Review and the Assessment Aid, pilot programs that enabled the FDA review team to begin analyzing data before the application submission. The FDA was able to approve the application less than one month after it was submitted.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07/18/2018
Resources for Information | Approved Drugs
Drug Information Soundcast in Clinical Oncology (D.I.S.C.O.)
Approved Drug Products with Therapeutic Equivalence Evaluations (Orange Book) Short Description</t>
  </si>
  <si>
    <t xml:space="preserve">ID_468</t>
  </si>
  <si>
    <t xml:space="preserve">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</si>
  <si>
    <t xml:space="preserve">https://wayback.archive-it.org/7993/20201219232235/https%3A//www.fda.gov/drugs/approved-drugs/fda-grants-accelerated-approval-ipilimumab-msi-h-or-dmmr-metastatic-colorectal-cancer</t>
  </si>
  <si>
    <t xml:space="preserve">FDA grants accelerated approval to ipilimumab for MSI-H or dMMR metastatic colorectal cancer
Share
Tweet
Linkedin
Email
Print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
Resources for Information | Approved Drugs
Drug Information Soundcast in Clinical Oncology (D.I.S.C.O.)
Approved Drug Products with Therapeutic Equivalence Evaluations (Orange Book) Short Description</t>
  </si>
  <si>
    <t xml:space="preserve">ID_470</t>
  </si>
  <si>
    <t xml:space="preserve">FDA approved encorafenib and binimetinib (BRAFTOVI and MEKTOVI, Array BioPharma Inc.) in combination for patients with unresectable or metastatic melanoma with a BRAF V600E or V600K mutation, as detected by an FDA-approved test. More Information. June 27, 2018</t>
  </si>
  <si>
    <t xml:space="preserve">https://wayback.archive-it.org/7993/20201219232235/https%3A//www.fda.gov/drugs/approved-drugs/fda-approves-encorafenib-and-binimetinib-combination-unresectable-or-metastatic-melanoma-braf</t>
  </si>
  <si>
    <t xml:space="preserve">FDA approves encorafenib and binimetinib in combination for unresectable or metastatic melanoma with BRAF mutations
Share
Tweet
Linkedin
Email
Print
On June 27, 2018, the Food and Drug Administration approved encorafenib and binimetinib (BRAFTOVI and MEKTOVI, Array BioPharma Inc.) in combination for patients with unresectable or metastatic melanoma with a BRAF V600E or V600K mutation, as detected by an FDA-approved test.
Approval was based on a randomized, active-controlled, open-label, multicenter trial (COLUMBUS; NCT01909453) in 577 patients with BRAF V600E or V600K mutation-positive unresectable or metastatic melanoma. Patients were randomized (1:1:1) to receive binimetinib 45 mg twice daily plus encorafenib 450 mg once daily, encorafenib 300 mg once daily, or vemurafenib 960 mg twice daily. Treatment continued until disease progression or unacceptable toxicity.
The major efficacy measure was progression-free survival (PFS) using RECIST 1.1 response criteria and assessed by blinded independent central review. The median PFS was 14.9 months for patients receiving binimetinib plus encorafenib, and 7.3 months for the vemurafenib monotherapy arm (hazard ratio 0.54, 95% CI: 0.41, 0.71, p0.0001).&gt;
The most common (≥25%) adverse reactions in patients receiving the combination were fatigue, nausea, diarrhea, vomiting, abdominal pain, and arthralgia. Discontinuation of therapy due to adverse reactions occurred in 5% of patients receiving the combination; the most common reasons were hemorrhage and headache.
FDA today also granted approval of the THxID BRAF Kit (bioMérieux) as a companion diagnostic for these therapeutics.
The recommended doses are binimetinib 45 mg orally twice daily and encorafenib 450 mg orally once daily.
View full prescribing information for BRAFTOVI.
View full prescribing information for MEKTOVI.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06/27/2018
Resources for Information | Approved Drugs
Drug Information Soundcast in Clinical Oncology (D.I.S.C.O.)
Approved Drug Products with Therapeutic Equivalence Evaluations (Orange Book) Short Description</t>
  </si>
  <si>
    <t xml:space="preserve">ID_472</t>
  </si>
  <si>
    <t xml:space="preserve">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</si>
  <si>
    <t xml:space="preserve">https://wayback.archive-it.org/7993/20201219232235/https%3A//www.fda.gov/drugs/approved-drugs/fda-approves-bevacizumab-combination-chemotherapy-ovarian-cancer</t>
  </si>
  <si>
    <t xml:space="preserve">FDA approves bevacizumab in combination with chemotherapy for ovarian cancer
Share
Tweet
Linkedin
Email
Print
On June 13, 2018, the Food and Drug Administration approved bevacizumab (Avastin, Genentech, Inc.) for patients with epithelial ovarian, fallopian tube, or primary peritoneal cancer in combination with carboplatin and paclitaxel, followed by single-agent bevacizumab, for stage III or IV disease after initial surgical resection.
Approval was based on GOG-0218 (NCT00262847), a multicenter, randomized, double-blind, placebo-controlled, three-arm study evaluating the addition of bevacizumab to carboplatin and paclitaxel for patients with stage III or IV epithelial ovarian, fallopian tube, or primary peritoneal cancer following initial surgical resection. Patients (n=1,873) were randomized (1:1:1) to carboplatin plus paclitaxel without bevacizumab, carboplatin plus paclitaxel with bevacizumab for up to six cycles, or carboplatin plus paclitaxel with bevacizumab for six cycles followed by single-agent bevacizumab for up to 16 additional doses. Bevacizumab was administered at 15 mg/kg intravenously every three weeks. On this trial, 1,215 patients received at least one bevacizumab dose.
The primary efficacy outcome was investigator-assessed progression-free survival (PFS); overall survival (OS) was a secondary outcome. The estimated median PFS was 18.2 months for patients receiving bevacizumab with chemotherapy followed by single-agent bevacizumab (HR 0.62; 95% CI: 0.52, 0.75; p0.0001).&gt;
Adverse reactions occurring at higher incidence (at least 5%) of patients receiving bevacizumab in GOG-0218 were diarrhea, nausea, stomatitis, fatigue, arthralgia, muscular weakness, pain in extremity, dysarthria, headache, dyspnea, epistaxis, nasal mucosal disorder, and hypertension. Grade 3-4 adverse reactions occurring at a higher incidence (≥2%) in either of the bevacizumab arms versus the control arm were fatigue, hypertension, platelet count decreased, and white blood cell count decreased.
The recommended bevacizumab dose for stage III or IV epithelial ovarian, fallopian tube, or primary peritoneal cancer following initial surgical resection is 15 mg/kg every 3 weeks with carboplatin and paclitaxel for up to 6 cycles, followed by 15 mg/kg every 3 weeks as a single- agent, for a total of up to 22 cycles. View full prescribing information for Avastin.
FDA granted bevacizumab orphan product designation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06/13/2018
Resources for Information | Approved Drugs
Drug Information Soundcast in Clinical Oncology (D.I.S.C.O.)
Approved Drug Products with Therapeutic Equivalence Evaluations (Orange Book) Short Description</t>
  </si>
  <si>
    <t xml:space="preserve">ID_479</t>
  </si>
  <si>
    <t xml:space="preserve">FDA approves dabrafenib plus trametinib for anaplastic thyroid cancer with BRAF V600E mutation. More Information. May 4, 2018.</t>
  </si>
  <si>
    <t xml:space="preserve">https://wayback.archive-it.org/7993/20201219232235/https%3A//www.fda.gov/drugs/approved-drugs/fda-approves-dabrafenib-plus-trametinib-anaplastic-thyroid-cancer-braf-v600e-mutation</t>
  </si>
  <si>
    <t xml:space="preserve">FDA approves dabrafenib plus trametinib for anaplastic thyroid cancer with BRAF V600E mutation
Share
Tweet
Linkedin
Email
Print
On May 4, 2018, the Food and Drug Administration approved dabrafenib (TAFINLAR®, Novartis Pharmaceuticals Corp.) and trametinib (MEKINIST®, Novartis Pharmaceuticals Corp.) in combination for the treatment of patients with locally advanced or metastatic anaplastic thyroid cancer (ATC) with BRAF V600E mutation and with no satisfactory locoregional treatment options.
Approval was based on a nine-cohort, non-randomized trial, BRF117019 (NCT02034110) enrolling patients with rare cancers with the BRAF V600E mutation, including locally advanced, unresectable, or metastatic ATC with no locoregional treatment options. The overall response rate was 61% (95% CI: 39%, 80%) in 23 patients with ATC who were evaluable for response. The complete and partial response rates were 4% and 57%, respectively. Response duration was at least 6 months in 64% of responding patients.
The adverse reaction profile among all patients in the trial and among patients in the ATC cohort was similar to that observed in other approved indications.
The recommended doses for ATC are 150 mg of dabrafenib orally twice daily and 2 mg of trametinib orally once daily. Full prescribing information is available at:
Dabrafenib PI
Trametinib PI
FDA granted this application priority review. FDA also granted breakthrough designation and orphan drug designation for the combination of dabrafenib and trametinib in the anaplastic thyroid cancer with BRAF V600 mutation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05/04/2018
Resources for Information | Approved Drugs
Drug Information Soundcast in Clinical Oncology (D.I.S.C.O.)
Approved Drug Products with Therapeutic Equivalence Evaluations (Orange Book) Short Description</t>
  </si>
  <si>
    <t xml:space="preserve">ID_481</t>
  </si>
  <si>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</si>
  <si>
    <t xml:space="preserve">https://wayback.archive-it.org/7993/20201219232235/https%3A//www.fda.gov/drugs/approved-drugs/fda-approves-dabrafenib-plus-trametinib-adjuvant-treatment-melanoma-braf-v600e-or-v600k-mutations</t>
  </si>
  <si>
    <t xml:space="preserve">FDA approves dabrafenib plus trametinib for adjuvant treatment of melanoma with BRAF V600E or V600K mutations
Share
Tweet
Linkedin
Email
Print
On April 30, 2018, the Food and Drug Administration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Approval was based on COMBI-AD (NCT01682083), an international, multi-center, randomized, double-blind, placebo-controlled trial in 870 patients with Stage III melanoma with BRAF V600E or V600K mutations, and pathologic involvement of regional lymph node(s). Patients were randomly allocated (1:1) to receive dabrafenib 150 mg twice daily in combination with trametinib 2 mg once daily or two placebos for up to 1 year.
The major efficacy outcome was relapse-free survival (RFS). RFS was defined as the time from randomization to disease recurrence (local, regional, or distant metastasis), new primary melanoma, or death from any cause, whichever occurred first as assessed by the investigator. Patients who received the combination treatment had a statistically significant improvement in RFS compared with those receiving placebo. Patients in the combination arm experienced fewer recurrences/deaths at the time of data-cutoff: 38% (n=166), compared with 57% (n=248) in the placebo arm (hazard ratio 0.47; 95% confidence interval 0.39, 0.58; p0.0001).&gt;
The most common adverse reactions in at least 20% of patients receiving the combination in the COMBI-AD trial were pyrexia, fatigue, nausea, headache, rash, chills, diarrhea, vomiting, arthralgia, and myalgia. Adverse reactions resulting in discontinuation, dose reduction, or dose interruption of dabrafenib occurred in 25%, 35%, and 66% of patients, respectively; the most common for each were pyrexia and chills. Adverse reactions resulting in discontinuation and dose interruption of trametinib occurred in 24% and 54% of patients respectively; the most common for each were pyrexia and chills. Adverse reactions leading to dose reduction of trametinib occurred in 23% of patients; the most common were pyrexia and decreased ejection fraction.
The recommended doses for the adjuvant treatment of melanoma are 150 mg of dabrafenib orally twice daily and 2 mg of trametinib orally once daily until disease recurrence or unacceptable toxicity, for up to one year.
Full prescribing information is available at:
Dabrafenib PI: https://www.accessdata.fda.gov/drugsatfda_docs/label/2018/202806s008lbl.pdf
Trametinib PI: https://www.accessdata.fda.gov/drugsatfda_docs/label/2018/204114s007lbl.pdf
FDA granted this application priority review. Dabrafenib in combination with trametinib was granted breakthrough therapy designation and orphan drug designation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05/01/2018
Resources for Information | Approved Drugs
Drug Information Soundcast in Clinical Oncology (D.I.S.C.O.)
Approved Drug Products with Therapeutic Equivalence Evaluations (Orange Book) Short Description</t>
  </si>
  <si>
    <t xml:space="preserve">ID_484</t>
  </si>
  <si>
    <t xml:space="preserve">FDA granted approvals to nivolumab and ipilimumab (Opdivo and Yervoy, Bristol-Myers Squibb Co.) in combination for the treatment of intermediate or poor risk, previously untreated advanced renal cell carcinoma. More Information. April 16, 2018</t>
  </si>
  <si>
    <t xml:space="preserve">https://wayback.archive-it.org/7993/20201219232235/https%3A//www.fda.gov/drugs/approved-drugs/fda-approves-nivolumab-plus-ipilimumab-combination-intermediate-or-poor-risk-advanced-renal-cell</t>
  </si>
  <si>
    <t xml:space="preserve">FDA approves nivolumab plus ipilimumab combination for intermediate or poor-risk advanced renal cell carcinoma
Share
Tweet
Linkedin
Email
Print
On April 16, 2018, the Food and Drug Administration granted approvals to nivolumab and ipilimumab (Opdivo and Yervoy, Bristol-Myers Squibb Co.) in combination for the treatment of intermediate or poor risk, previously untreated advanced renal cell carcinoma.
The approvals were based on CheckMate 214 (NCT02231749), a randomized open-label trial. Patients with previously untreated advanced RCC received nivolumab (3 mg/kg) plus ipilimumab (1 mg/kg) every 3 weeks for 4 doses followed by nivolumab monotherapy (3 mg/kg) every 2 weeks, or sunitinib 50 mg daily for 4 weeks followed by 2 weeks off every cycle.
Efficacy was evaluated in intermediate or poor-risk patients (n=847). The trial demonstrated statistically significant improvements in overall survival (OS) and objective response rate (ORR) for patients receiving the combination (n=425) compared with those receiving sunitinib (n=422). Estimated median OS was not estimable in the combination arm compared with 25.9 months in the sunitinib arm (hazard ratio 0.63, 95% CI: 0.44, 0.89; p0.0001).&gt;0.0001).&gt;
The most common adverse reactions (reported in at least 20% of patients treated with the combination) were fatigue, rash, diarrhea, musculoskeletal pain, pruritus, nausea, cough, pyrexia, arthralgia, and decreased appetite.
The recommended schedule and dose for this combination is nivolumab, 3 mg/kg, followed by ipilimumab, 1 mg/kg, on the same day every 3 weeks for 4 doses, then nivolumab, 240 mg, every 2 weeks or 480 mg every 4 weeks.
Prescribing information for both nivolumab and ipilimumab have been updated with these results. Full prescribing information is available at:
Nivolumab PI: https://www.accessdata.fda.gov/drugsatfda_docs/label/2018/125554s058lbl.pdf
Ipilimumab PI: https://www.accessdata.fda.gov/drugsatfda_docs/label/2018/125377s094lbl.pdf
FDA granted these applications priority review and breakthrough therapy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04/16/2018
Resources for Information | Approved Drugs
Drug Information Soundcast in Clinical Oncology (D.I.S.C.O.)
Approved Drug Products with Therapeutic Equivalence Evaluations (Orange Book) Short Description</t>
  </si>
  <si>
    <t xml:space="preserve">ID_489</t>
  </si>
  <si>
    <t xml:space="preserve">FDA approved brentuximab vedotin (Adcetris, Seattle Genetics, Inc.) to treat adult patients with previously untreated stage III or IV classical Hodgkin lymphoma (cHL) in combination with chemotherapy. More Information. March 20, 2018</t>
  </si>
  <si>
    <t xml:space="preserve">https://wayback.archive-it.org/7993/20201219232235/https%3A//www.fda.gov/drugs/approved-drugs/brentuximab-vedotin</t>
  </si>
  <si>
    <t xml:space="preserve">Brentuximab Vedotin
Share
Tweet
Linkedin
Email
Print
On March 20, 2018, the Food and Drug Administration approved brentuximab vedotin (Adcetris, Seattle Genetics, Inc.) to treat adult patients with previously untreated stage III or IV classical Hodgkin lymphoma (cHL) in combination with chemotherapy.
Approval was based on a randomized, open-label, two-arm, multicenter trial, ECHELON-1, that randomized 1,334 patients to receive either Adcetris plus doxorubicin, vinblastine, and dacarbazine (Adcetris + AVD) or bleomycin plus AVD (ABVD). Patients were randomized to receive up to 6 cycles of Adcetris + AVD or ABVD on Days 1 and 15 of each 28-day cycle.
Efficacy was established based on modified progression-free survival (mPFS), defined as progression, death, or receipt of additional anticancer therapy for patients who are not in a complete response after completion of frontline therapy. The estimated median mPFS was not reached in either arm, with a median follow-up time of 24.6 months. There were 117 events (18%) on the Adcetris + AVD arm and 146 events (22%) on the ABVD arm (hazard ratio 0.77; 95% CI: 0.60, 0.98; p=0.035), corresponding to a 23 percent reduction in the risk of an mPFS event. At the time of the mPFS analysis, an interim overall survival analysis did not demonstrate a significant difference.
The most common adverse reactions in at least 20% of patients treated with Adcetris across all clinical trials were neutropenia, anemia, peripheral sensory neuropathy, nausea, fatigue, constipation, diarrhea, vomiting, and pyrexia. Primary G-CSF prophylaxis is recommended with Adcetris plus chemotherapy for the frontline treatment of stage III or IV cHL.
The recommended dose of Adcetris in combination with chemotherapy for previously untreated stage III or IV cHL is 1.2 mg/kg as an intravenous infusion up to a maximum of 120 mg every 2 weeks for 12 doses.
Full prescribing information is available at: https://www.accessdata.fda.gov/drugsatfda_docs/label/2018/125388s097lbl.pdf.
FDA granted this application priority review and breakthrough designation.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03/20/2018
Resources for Information | Approved Drugs
Drug Information Soundcast in Clinical Oncology (D.I.S.C.O.)
Approved Drug Products with Therapeutic Equivalence Evaluations (Orange Book) Short Description</t>
  </si>
  <si>
    <t xml:space="preserve">ID_490</t>
  </si>
  <si>
    <t xml:space="preserve">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</si>
  <si>
    <t xml:space="preserve">https://wayback.archive-it.org/7993/20201219232235/https%3A//www.fda.gov/drugs/approved-drugs/fda-approves-abemaciclib-initial-therapy-hr-positive-her2-negative-metastatic-breast-cancer</t>
  </si>
  <si>
    <t xml:space="preserve">FDA approves abemaciclib as initial therapy for HR-positive, HER2-negative metastatic breast cancer
Share
Tweet
Linkedin
Email
Print
On February 26, 2018, the Food and Drug Administration approved abemaciclib (VERZENIO™, Eli Lilly and Company) in combination with an aromatase inhibitor as initial endocrine-based therapy for postmenopausal women with hormone receptor (HR)-positive, human epidermal growth factor receptor 2 (HER2)-negative advanced or metastatic breast cancer.
Approval was based on MONARCH 3, a randomized (2:1), double-blinded, placebo-controlled, multicenter clinical trial in postmenopausal women with HR-positive, HER2-negative advanced or metastatic breast cancer. A total of 493 patients were randomized to receive either abemaciclib 150 mg or placebo orally twice daily, plus physician’s choice of letrozole or anastrozole. The estimated median progression-free survival (PFS) (RECIST 1.1) was 28.2 months (95% CI: 23.5, Not reached) for patients receiving abemaciclib and 14.8 months (95% CI: 11.2, 19.2) for those receiving placebo (HR 0.540; 95% CI: 0.418, 0.698; p
The most common adverse reactions in at least 20% of patients receiving abemaciclib in MONARCH 3 and more than 2% higher than the placebo arm were diarrhea, neutropenia, fatigue, infections, nausea, abdominal pain, anemia, vomiting, alopecia, decreased appetite, and leukopenia.
The recommended starting dose of abemaciclib in combination with an aromatase inhibitor is 150 mg twice daily orally with or without food.
Full prescribing information is available at: https://www.accessdata.fda.gov/drugsatfda_docs/label/2018/208855s000lbl.pdf.
FDA granted this application priority review.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02/26/2018
Resources for Information | Approved Drugs
Drug Information Soundcast in Clinical Oncology (D.I.S.C.O.)
Approved Drug Products with Therapeutic Equivalence Evaluations (Orange Book) Short Description</t>
  </si>
  <si>
    <t xml:space="preserve">ID_493</t>
  </si>
  <si>
    <t xml:space="preserve">FDA approved abiraterone acetate (Zytiga, Janssen Biotech Inc.) tablets in combination with prednisone for metastatic high-risk castration-sensitive prostate cancer (CSPC). More Information. February 7, 2018</t>
  </si>
  <si>
    <t xml:space="preserve">https://wayback.archive-it.org/7993/20201219232235/https%3A//www.fda.gov/drugs/approved-drugs/fda-approves-abiraterone-acetate-combination-prednisone-high-risk-metastatic-castration-sensitive</t>
  </si>
  <si>
    <t xml:space="preserve">FDA approves abiraterone acetate in combination with prednisone for high-risk metastatic castration-sensitive prostate cancer
Share
Tweet
Linkedin
Email
Print
On February 7, 2018, the Food and Drug Administration (FDA) approved abiraterone acetate (Zytiga, Janssen Biotech Inc.) tablets in combination with prednisone for metastatic high-risk castration-sensitive prostate cancer (CSPC).
FDA initially approved abiraterone acetate with prednisone in 2011 for patients with metastatic castration-resistant prostate cancer (CRPC) who had received prior chemotherapy, and expanded the indication in 2012 for patients with metastatic CRPC. 
Today’s approval was based on LATITUDE (NCT01715285), a placebo controlled international clinical trial that randomized 1,199 patients with metastatic high-risk CSPC. Patients received either abiraterone acetate, 1,000 mg orally once daily with prednisone 5 mg once daily (n=597), or placebos orally once daily (n=602). Patients in both arms received a gonadotropin releasing hormone or had a bilateral orchiectomy. The major efficacy endpoint was overall survival (OS). Median OS was not estimable and 34.7 months in the abiraterone acetate and placebos arms, respectively (HR 0.621; 95% CI: 0.509, 0.756; p0.0001).&gt;
The most common adverse reactions in at least 5% of patients receiving abiraterone acetate on LATITUDE were hypertension, hot flush, hypokalemia, increased alanine aminotransferase or aspartate aminotransferase, headache, urinary tract infection, upper respiratory tract infection, and cough.
The recommended dose for Zytiga for metastatic CSPC is 1,000 mg orally once daily with prednisone 5 mg orally once daily. Patients receiving ZYTIGA should also receive a gonadotropin-releasing hormone (GnRH) analog concurrently or should have had bilateral orchiectomy.
Full prescribing information is available at: https://www.accessdata.fda.gov/drugsatfda_docs/label/2018/202379s024lbl.pdf.
FDA granted priority review for this application and it was approved more than a month ahead of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02/08/2018
Resources for Information | Approved Drugs
Drug Information Soundcast in Clinical Oncology (D.I.S.C.O.)
Approved Drug Products with Therapeutic Equivalence Evaluations (Orange Book) Short Description</t>
  </si>
  <si>
    <t xml:space="preserve">ID_499</t>
  </si>
  <si>
    <t xml:space="preserve">FDA granted regular approval to pertuzumab (PERJETA, Genentech, Inc.) for use in combination with trastuzumab and chemotherapy as adjuvant treatment of patients with HER2-positive early breast cancer at high risk of recurrence. More Information. December 20, 2017</t>
  </si>
  <si>
    <t xml:space="preserve">https://wayback.archive-it.org/7993/20201219232235/https%3A//www.fda.gov/drugs/approved-drugs/fda-grants-regular-approval-pertuzumab-adjuvant-treatment-her2-positive-breast-cancer</t>
  </si>
  <si>
    <t xml:space="preserve">FDA grants regular approval to pertuzumab for adjuvant treatment of HER2-positive breast cancer
Share
Tweet
Linkedin
Email
Print
On December 20, 2017, the Food and Drug Administration granted regular approval to pertuzumab (PERJETA, Genentech, Inc.) for use in combination with trastuzumab and chemotherapy as adjuvant treatment of patients with HER2-positive early breast cancer at high risk of recurrence.
Approval was based on data from APHINITY (NCT01358877), a multicenter, randomized, double-blind, placebo-controlled trial in 4804 patients with HER2-positive early breast cancer who had their primary tumor excised prior to randomization. Patients were then randomized to receive pertuzumab or placebo, in combination with adjuvant trastuzumab and chemotherapy. The main efficacy outcome was invasive disease-free survival (IDFS), defined as the time from randomization to first occurrence of ipsilateral local or regional invasive breast cancer recurrence, distant recurrence, contralateral invasive breast cancer, or death from any cause.
After a median follow-up of 45.4 months, the proportion of IDFS events in the intent-to-treat population was 7.1% (n=171) in the pertuzumab arm and 8.7% (n=210) for those receiving placebo (HR 0.82; 95% CI: 0.67, 1.00; p=0.047). High-risk patients included patients such as those with hormone receptor negative or those with node positive breast cancer. The proportion of IDFS events in patients with hormone receptor negative disease was 8.2% (n=71) and 10.6% (n=91) in the pertuzumab and placebo arms, respectively (HR 0.76, 95% CI 0.56, 1.04). The proportion of IDFS events for patients with node positive disease was 9.2% (n=139) and 12.1% (n=181) in the pertuzumab and placebo arms, respectively (HR 0.77, 95% CI 0.62, 0.96). Overall survival data are not yet mature.
Adverse reactions reported in at least 30% of patients receiving pertuzumab in combination with trastuzumab and chemotherapy in APHINITY were diarrhea, nausea, alopecia, fatigue, peripheral neuropathy, and vomiting. The most common grade 3-4 adverse reactions (&gt;2%) were neutropenia, febrile neutropenia, diarrhea, neutrophil count decreased, anemia, white blood cell count decreased, leukopenia, fatigue, nausea, and stomatitis.
The initial pertuzumab dose is 840 mg administered as a 60-minute intravenous infusion, followed every 3 weeks thereafter by 420 mg administered as a 30- to 60-minute intravenous infusion.
Full prescribing information is available at: https://www.accessdata.fda.gov/drugsatfda_docs/label/2017/125409s113s118lbl.pdf.
In 2012, FDA granted regular approved to pertuzumab for use in combination with trastuzumab and docetaxel for treatment of patients with HER2-positive metastatic breast cancer who have not received prior anti-HER2 therapy or chemotherapy for metastatic disease.
FDA granted accelerated approval to pertuzumab in 2013 as neoadjuvant treatment. With this latest adjuvant approval, the accelerated approval post-marketing requirement is fulfilled and regular approval is granted to pertuzumab for use in combination with trastuzumab and chemotherapy as neoadjuvant treatment of patients with HER2-positive, locally advanced, inflammatory, or early stage breast cancer (either greater than 2 cm in diameter or node positive) as part of a complete treatment regimen for early breast cancer.
FDA granted priority review to pertuzumab for this application.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12/21/2017
Resources for Information | Approved Drugs
Drug Information Soundcast in Clinical Oncology (D.I.S.C.O.)
Approved Drug Products with Therapeutic Equivalence Evaluations (Orange Book) Short Description</t>
  </si>
  <si>
    <t xml:space="preserve">ID_506</t>
  </si>
  <si>
    <t xml:space="preserve">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</si>
  <si>
    <t xml:space="preserve">https://wayback.archive-it.org/7993/20201219232235/https%3A//www.fda.gov/drugs/approved-drugs/fda-approves-obinutuzumab-previously-untreated-follicular-lymphoma</t>
  </si>
  <si>
    <t xml:space="preserve">FDA approves obinutuzumab for previously untreated follicular lymphoma
Share
Tweet
Linkedin
Email
Print
On November 16, 2017, the Food and Drug Administration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Approval was based on a multicenter, open-label, randomized phase 3 trial (GALLIUM) for patients with previously untreated non-Hodgkin lymphoma, including 1202 patients with FL. Patients were randomized 1:1 to receive either obinutuzumab + chemotherapy or rituximab + chemotherapy, followed in responding patients by obinutuzumab or rituximab maintenance for up to 2 years. Of the patients with FL, 91% had stage III-IV disease, 44% had bulky disease, and 79% had at least intermediate-risk disease. The chemotherapy backbone was bendamustine in 57%, CHOP in 33% and CVP in 10%. With a median follow-up of 38 months, progression-free survival, as assessed by an independent review committee, was statistically significantly improved in the obinutuzumab arm, with an estimated hazard ratio of 0.72 (95% CI: 0.56, 0.93; p=0.0118) compared to the rituximab arm. Median progression-free survival was not reached in either arm. As assessed by CT, the arms had similar overall response rates (91% with obinutuzumab, 88% with rituximab) and complete remission rates (28% and 27%, respectively).
Among the 1385 patients evaluated for safety, the obinutuzumab arm had higher incidences of serious adverse reactions (ARs; 50% compared to 43% in the rituximab arm), grade ≥ 3 ARs (79% vs. 72%) and fatal infections (2% vs.
In patients with previously untreated FL, the recommended dose-schedule of obinutuzumab is 1000 mg intravenously on days 1, 8 and 15 of cycle 1; 1000 mg on day 1 of cycles 2-6 or cycles 2-8; and then 1000 mg every 2 months for up to 2 years.
Full prescribing information is available at: https://www.accessdata.fda.gov/drugsatfda_docs/label/2017/125486s017s018lbl.pdf.
FDA granted priority review to obinutuzumab for this indication.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11/16/2017
Resources for Information | Approved Drugs
Drug Information Soundcast in Clinical Oncology (D.I.S.C.O.)
Approved Drug Products with Therapeutic Equivalence Evaluations (Orange Book) Short Description</t>
  </si>
  <si>
    <t xml:space="preserve">ID_514</t>
  </si>
  <si>
    <t xml:space="preserve">FDA approved abemaciclib (VERZENIO, Eli Lilly and Company) in combination with fulvestrant for women with HR-positive, HER2-negative advanced or metastatic breast cancer with disease progression following endocrine therapy. More Inforrmation. September 28, 2017</t>
  </si>
  <si>
    <t xml:space="preserve">https://wayback.archive-it.org/7993/20201219232235/https%3A//www.fda.gov/drugs/approved-drugs/fda-approves-abemaciclib-hr-positive-her2-negative-breast-cancer</t>
  </si>
  <si>
    <t xml:space="preserve">FDA approves abemaciclib for HR-positive, HER2-negative breast cancer
Share
Tweet
Linkedin
Email
Print
On September 28, 2017, the Food and Drug Administration approved abemaciclib (VERZENIO, Eli Lilly and Company) in combination with fulvestrant for women with HR-positive, HER2-negative advanced or metastatic breast cancer with disease progression following endocrine therapy. In addition, abemaciclib was approved as monotherapy for women and men with HR-positive, HER2-negative advanced or metastatic breast cancer with disease progression following endocrine therapy and prior chemotherapy in the metastatic setting.
The approval in combination with fulvestrant was based on MONARCH 2, a randomized, placebo-controlled, multicenter trial in women with HR-positive, HER2-negative metastatic breast cancer with disease progression following endocrine therapy who had not received chemotherapy in the metastatic setting. The trial randomized 669 patients to receive either abemaciclib or placebo orally twice daily plus intramuscular injection of 500 mg fulvestrant on days 1 and 15 of cycle 1 and then on day 1 of cycle 2 and beyond (28-day cycles). Patients remained on continuous treatment with abemaciclib until development of progressive disease or unmanageable toxicity. Median progression-free survival for patients taking abemaciclib with fulvestrant was 16.4 months compared with 9.3 months for those taking placebo with fulvestrant (HR 0.553; 95% CI: 0.449, 0.681; p0.0001).&gt;
The approval as monotherapy was based on MONARCH 1, a single-arm, open-label, multicenter study in women with measurable HR-positive, HER2-negative metastatic breast cancer whose disease progressed during or after endocrine therapy, had received a taxane in any setting, and who received one or two prior chemotherapy regimens in the metastatic setting. A total of 132 patients received 200 mg abemaciclib orally twice daily on a continuous schedule until progressive disease or unmanageable toxicity. Objective response rate was 19.7 percent (95% CI: 13.3, 27.5) with a median response duration of 8.6 months (95% CI: 5.8, 10.2).
The most common adverse reactions in greater than 20% of patients taking abemaciclib were diarrhea, neutropenia, nausea, abdominal pain, infections, fatigue, anemia, leukopenia, decreased appetite, vomiting, headache, and thrombocytopenia. The most frequently reported (≥5%) grade 3 or 4 adverse reactions in patients taking abemaciclib with fulvestrant were neutropenia, diarrhea, leukopenia, anemia, and infections.
The recommended starting doses are 150 mg twice daily in combination with fulvestrant or 200 mg twice daily as monotherapy. 
Full dosing information is available at:
https://www.accessdata.fda.gov/drugsatfda_docs/label/2017/208716s000lbl.pdf
FDA granted priority review and Breakthrough Therapy Designation to abemaciclib for this indication. Approval was granted approximately three months prior to the due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09/28/2017
Resources for Information | Approved Drugs
Drug Information Soundcast in Clinical Oncology (D.I.S.C.O.)
Approved Drug Products with Therapeutic Equivalence Evaluations (Orange Book) Short Description</t>
  </si>
  <si>
    <t xml:space="preserve">ID_517</t>
  </si>
  <si>
    <t xml:space="preserve">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</si>
  <si>
    <t xml:space="preserve">https://wayback.archive-it.org/7993/20201219232235/https%3A//www.fda.gov/drugs/approved-drugs/fda-approves-lower-dose-cabazitaxel-prostate-cancer</t>
  </si>
  <si>
    <t xml:space="preserve">FDA approves lower dose of cabazitaxel for prostate cancer
Share
Tweet
Linkedin
Email
Print
On September 14, 2017, the U.S. Food and Drug Administration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The approval was based on data from a noninferiority, multicenter, randomized, open-label trial (PROSELICA) of 1200 patients with metastatic castration-resistant prostate cancer previously treated with a docetaxel-containing regimen. This trial was conducted as a post-marketing requirement to evaluate a lower dose compared with the approved dose of 25 mg/m2. Patients received either cabazitaxel 25 mg/m2 (n=602) or the 20 mg/m2 (n=598) dose.
The trial demonstrated noninferiority in overall survival (OS) of cabazitaxel 20 mg/m2 in comparison with 25 mg/m2 in an intent-to-treat population. The estimated median OS was 13.4 months for patients on the lower dose compared with 14.5 months for patients receiving the higher dose (hazard ratio=1.024; 97.78% CI: 0.886, 1.184). Based on the per-protocol population, the estimated median OS was 15.1 and 15.9 months on cabazitaxel 20 mg/m2 and cabazitaxel 25 mg/m2 respectively (hazard ratio=1.042; 97.78% CI: 0.886, 1.224).
The major safety findings, myelosuppression, infections and increased toxicity, occurred with greater frequency on the 25 mg/m2 arm compared to the lower dose. Deaths within 30 days of the last study drug dose (5.4% vs. 3.8%), and early infection-related deaths within 30 days of the treatment initiation (1.3% vs 0.7%) were more common on the 25 mg/m2 arm compared to the 20 mg/m2 arm. All of the early infection-related deaths occurred in patients greater than 60 years of age. Primary prophylaxis with G-CSF is recommended in patients with high-risk clinical features.
Adverse reactions and laboratory abnormalities occurring in greater than 10% of patients treated with cabazitaxel on clinical trials were neutropenia, anemia, leukopenia, thrombocytopenia, diarrhea, fatigue, nausea, vomiting, constipation, asthenia, abdominal pain, hematuria, back pain, and anorexia. Grade 3-4 infections were reported in 20% patients on the 25 mg/m2 arm and 10% patients on the lower dose. Febrile neutropenia occurred in 9% of patients on the 25 mg/m2 arm and in 2% on the 20 mg/m2 arm. The most common reasons for dose discontinuation were fatigue and hematuria.
The recommended dose of cabazitaxel is 20 mg/m2 administered every three weeks as a one-hour intravenous infusion in combination with oral prednisone 10 mg administered daily. A dose of 25 mg/m2 can be used in select patients at the discretion of the treating healthcare provider.
The full prescribing information is available at: https://www.accessdata.fda.gov/drugsatfda_docs/label/2017/201023s019lbl.pdf.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09/14/2017
Resources for Information | Approved Drugs
Drug Information Soundcast in Clinical Oncology (D.I.S.C.O.)
Approved Drug Products with Therapeutic Equivalence Evaluations (Orange Book) Short Description</t>
  </si>
  <si>
    <t xml:space="preserve">ID_520</t>
  </si>
  <si>
    <t xml:space="preserve">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</si>
  <si>
    <t xml:space="preserve">https://wayback.archive-it.org/7993/20201219232235/https%3A//www.fda.gov/drugs/approved-drugs/fda-approves-gemtuzumab-ozogamicin-cd33-positive-aml</t>
  </si>
  <si>
    <t xml:space="preserve">Notification includes use in combination with chemotherapy</t>
  </si>
  <si>
    <t xml:space="preserve">FDA Approves Gemtuzumab Ozogamicin for CD33-positive AML
Share
Tweet
Linkedin
Email
Print
On September 1, 2017, the U.S. Food and Drug Administration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Approval of gemtuzumab ozogamicin in combination with chemotherapy for adults was based on ALFA-0701 (NCT00927498), a multicenter, randomized, open-label phase 3 study of 271 patients with newly-diagnosed, de novo AML aged 50 to 70 years. Patients were randomized (1:1) to receive induction therapy consisting of daunorubicin (60 mg/m2 on days 1 to 3) and cytarabine (200 mg/m2 on days 1 to 7) with (n=135) or without (n=136) gemtuzumab ozogamicin 3 mg/m2 (up to maximum of one vial) on days 1, 4, and 7. Using the per protocol definition of event-free survival (EFS), estimated median EFS was 17.3 months for patients receiving gemtuzumab ozogamicin vs. 9.5 months for those receiving chemotherapy alone, with hazard ratio of 0.56 (95% CI: 0.42, 0.76).
Gemtuzumab ozogamicin was evaluated in two clinical trials for use as a single agent. The first trial, AML-19, was a multicenter, randomized (1:1), open-label phase 3 study in 237 patients comparing gemtuzumab ozogamicin monotherapy to best supportive care (BSC). Eligible patients had newly-diagnosed AML and were 1) greater than 75 years of age or 2) 61 to 75 years of age with a WHO performance status greater than 2 or were unwilling to receive intensive chemotherapy. During induction, gemtuzumab ozogamicin 6 mg/m2 was given on day 1 and gemtuzumab ozogamicin 3 mg/m2 was given on day 8. Patients with no evidence of disease progression or significant toxicities after induction received continuation therapy as outpatients with up to 8 courses of treatment including gemtuzumab ozogamicin 2 mg/m2 on day 1, every 4 weeks. BSC included standard supportive care measures and hydroxyurea or other anti-metabolites for palliative purposes. Estimated median overall survival (OS) was 4.9 months for patients receiving gemtuzumab ozogamicin vs. 3.6 months for those receiving BSC, with hazard ratio of 0.69 (95% CI: 0.53, 0.90).
The second trial, MyloFrance-1, a phase 2, single-arm, open-label study, included 57 patients with CD33-positive AML in first relapse. Patients received a single course of gemtuzumab ozogamicin 3 mg/m2 on days 1, 4, and 7. Consolidation therapy consisted of cytarabine intravenously every 12 hours for 3 days. Fifteen (26%; 95% CI: 16% - 40%) patients achieved complete response (CR) following a single course of gemtuzumab ozogamicin. Median relapse-free survival, measured from the first documentation of CR to the date of relapse or death, was 11.6 months.
The label contains a box warning for hepatotoxicity. The most common adverse reactions (&gt;15%) were hemorrhage, infection, fever, nausea, vomiting, constipation, headache, increased AST, increased ALT, rash, and mucositis. Serious adverse reactions associated with gemtuzumab ozogamicin are hepatotoxicity (including veno-occlusive disease), infusion-related reactions (including anaphylaxis), and hemorrhage.
This approval includes a lower recommended dose and schedule of gemtuzumab ozogamicin than what FDA approved previously in 2000, as well as a different patient population. Gemtuzumab ozogamicin was voluntarily withdrawn in 2010 after trials failed to confirm benefit and demonstrated safety concerns, including early mortality and VOD.
The full prescribing information is available at: https://www.accessdata.fda.gov/drugsatfda_docs/label/2017/761060lbl.pdf.
FDA previously granted orphan drug designation to gemtuzumab ozogamicin.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www.fda.gov/DISCO.
Content current as of:
09/01/2017
Resources for Information | Approved Drugs
Drug Information Soundcast in Clinical Oncology (D.I.S.C.O.)
Approved Drug Products with Therapeutic Equivalence Evaluations (Orange Book) Short Description</t>
  </si>
  <si>
    <t xml:space="preserve">ID_524</t>
  </si>
  <si>
    <t xml:space="preserve">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</si>
  <si>
    <t xml:space="preserve">https://wayback.archive-it.org/7993/20201219232235/https%3A//www.fda.gov/drugs/approved-drugs/fda-approves-liposome-encapsulated-combination-daunorubicin-cytarabine-adults-some-types-poor</t>
  </si>
  <si>
    <t xml:space="preserve">FDA approves liposome-encapsulated combination of daunorubicin-cytarabine for adults with some types of poor prognosis AML
Share
Tweet
Linkedin
Email
Print
Listen to the FDA D.I.S.C.O. podcast about this approval.
On August 3, 2017, the U.S. Food and Drug Administration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This is the first FDA-approved treatment specifically for patients with t-AML or AML-MRC.
Approval was based on data from Study CLTR0310-301 (NCT01696084), a randomized (1:1), multicenter, open-label, active-controlled trial comparing Vyxeos to a standard combination of daunorubicin and cytarabine (7+3) in 309 patients 60-75 years of age with newly-diagnosed t-AML or AML-MRC. Vyxeos demonstrated an estimated median overall survival of 9.6 months compared with 5.9 months for the 7+3 control (hazard ratio 0.69; 95% CI: 0.52, 0.90; p=0.005).
The most common adverse reactions occurring in greater than 25% of patients treated with Vyxeos were hemorrhage events, febrile neutropenia, rash, edema, nausea, mucositis, diarrhea, constipation, musculoskeletal pain, fatigue, abdominal pain, dyspnea, headache, cough, decreased appetite, arrhythmia, pneumonia, bacteremia, chills, sleep disorders and vomiting.
Each Vyxeos vial contains 44 mg daunorubicin and 100 mg cytarabine encapsulated together in liposomes. The volume of reconstituted Vyxeos required for each dose is calculated based on the daunorubicin dose (mg/m2) using body surface area. Since Vyxeos is a fixed-dose combination, and dosing based on the daunorubicin component, the corresponding cytarabine dose is included and does not need to be calculated.
For the first induction cycle, the recommended dose of Vyxeos is (daunorubicin 44 mg/m2 and cytarabine 100 mg/m2) liposome via intravenous infusion over 90 minutes on days 1, 3, and 5. If needed, the same dose is administered on days 1 and 3 of second induction. The recommended dose for each cycle of consolidation therapy is (daunorubicin 29 mg/m2 and cytarabine 65 mg/m2) liposome via intravenous infusion over 90 minutes on days 1 and 3.
The prescribing information includes a boxed warning not to substitute Vyxeos with other daunorubicin- or cytarabine-containing products. Full prescribing information is available at: https://www.accessdata.fda.gov/drugsatfda_docs/label/2017/209401s000lbl.pdf 
FDA previously granted Breakthrough Therapy and Orphan Drug designations to the combination product for this indication, as well as priority review. FDA approval took place two months ahead of the goal date.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and medication errors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Twitter@FDAOncology.
Check out recent approvals at the OCE’s new podcast, Drug Information Soundcast in Clinical Oncology (D.I.S.C.O.), available at www.fda.gov/DISCO.
Content current as of:
09/15/2017
Resources for Information | Approved Drugs
Drug Information Soundcast in Clinical Oncology (D.I.S.C.O.)
Approved Drug Products with Therapeutic Equivalence Evaluations (Orange Book) Short Description</t>
  </si>
  <si>
    <t xml:space="preserve">ID_533</t>
  </si>
  <si>
    <t xml:space="preserve">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</si>
  <si>
    <t xml:space="preserve">https://wayback.archive-it.org/7993/20201219232235/https%3A//www.fda.gov/drugs/approved-drugs/fda-grants-regular-approval-dabrafenib-and-trametinib-combination-metastatic-nsclc-braf-v600e</t>
  </si>
  <si>
    <t xml:space="preserve">FDA grants regular approval to dabrafenib and trametinib combination for metastatic NSCLC with BRAF V600E mutation
Share
Tweet
Linkedin
Email
Print
On June 22, 2017, the U.S. Food and Drug Administration granted regular approvals to dabrafenib and trametinib (TAFINLAR® and MEKINIST®, Novartis Pharmaceuticals Inc.) administered in combination for patients with metastatic non-small cell lung cancer (NSCLC) with BRAF V600E mutation as detected by an FDA-approved test.
These are the first FDA approvals specifically for treatment of patients with BRAF V600E mutation-positive metastatic NSCLC.
The FDA today also approved the Oncomine™ Dx Target Test (Thermo Fisher Scientific), a next generation sequencing (NGS) test to detect multiple gene mutations for lung cancer in a single test from a single tissue specimen. This test detects the presence of BRAF, ROS1, and EGFR gene mutations or alterations in tumor tissue of patients with NSCLC. This test can be used to select patients with NSCLC with the BRAF V600E mutation for treatment with the combination of dabrafenib and trametinib. This is the first NGS oncology panel test approved by the FDA for multiple companion diagnostic indications.
The approvals are based on Study BRF113928 (NCT01336634), an international, multicenter, three-cohort, non-randomized, non-comparative, open-label, trial in patients with locally confirmed BRAF V600E mutation-positive metastatic NSCLC. Ninety-three patients were treated with the combination of dabrafenib (150 mg orally twice daily) and trametinib (2 mg orally once daily). Of these 93 patients, 36 had received no prior systemic therapy for metastatic NSCLC and 57 received at least one platinum-based chemotherapy regimen with demonstrated disease progression. Seventy-eight patients with previously treated BRAF V600E mutation-positive NSCLC received single-agent dabrafenib.
In the previously treated group, the overall response rate (ORR) for the combination based on independent radiology review committee assessment per RECIST 1.1 was 63% (95% CI: 49%, 76%) with a median duration of response (DoR) of 12.6 months (95% CI: 5.8, not estimable [NE]). In the treatment-naive group, the ORR for the combination was 61% (95% CI: 44%, 77%) and median DoR was not estimable (95% CI: 6.9, NE); however, 59% of responders had response durations greater than six months. The ORR for patients who received single-agent dabrafenib was 27% (95% CI: 18%, 38%) and the median DoR was 9.9 months.
The incidence and severity of adverse reactions occurring in patients with NSCLC were generally similar to those reported in prior approvals for patients with melanoma. The most common adverse reactions (≥20%) were pyrexia, fatigue, nausea, vomiting, diarrhea, dry skin, decreased appetite, edema, rash, chills, hemorrhage, cough, and dyspnea. The most common Grade 3-4 adverse reactions were pyrexia, fatigue, dyspnea, vomiting, rash, hemorrhage, and diarrhea. The majority of laboratory abnormalities were Grade 1-2. The most common (≥5%) Grade 3-4 laboratory abnormalities were hyponatremia, lymphopenia, anemia, hyperglycemia, neutropenia, leukopenia, hypophosphatemia, and increased alanine aminotransferase. Dabrafenib and trametinib were discontinued for adverse reactions in 18% and 19% of patients, respectively.
The recommended doses are dabrafenib 150 mg orally twice daily, approximately 12 hours apart, with trametinib 2 mg orally once daily. The presence of BRAF V600E mutation in tumor specimen should be confirmed by an FDA-approved test prior to initiation of therapy.
Full prescribing information for dabrafenib
Full prescribing information for trametinib
FDA granted Breakthrough Therapy Designation in 2015 for the combination of dabrafenib and trametinib for the treatment of patients with advanced and metastatic BRAF V600E mutation-positive NSCLC who received at least one prior line of platinum-containing therapy. Orphan Drug Designation was granted in 2014 to dabrafenib as a single agent for the treatment of patients with BRAF mutation positive NSLC and in 2015 combination with trametinib. A description of FDA expedited programs is available in the Guidance for Industry: Expedited Programs for Serious Conditions-Drugs and Biologics.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Follow the Oncology Center of Excellence on Twitter @FDAOncology.
Check out recent approvals at the OCE’s new podcast, Drug Information Soundcast in Clinical Oncology (D.I.S.C.O.), available at www.fda.gov/OCE.
Content current as of:
06/22/2017
Resources for Information | Approved Drugs
Drug Information Soundcast in Clinical Oncology (D.I.S.C.O.)
Approved Drug Products with Therapeutic Equivalence Evaluations (Orange Book) Short Description</t>
  </si>
  <si>
    <t xml:space="preserve">ID_539</t>
  </si>
  <si>
    <t xml:space="preserve">FDA granted accelerated approval to pembrolizumab (KEYTRUDA, Merck and Co., Inc.) in combination with pemetrexed and carboplatin for the treatment of patients with previously untreated metastatic non-squamous non-small cell lung cancer (NSCLC). More Information. May 10, 2017</t>
  </si>
  <si>
    <t xml:space="preserve">https://wayback.archive-it.org/7993/20201219232235/https%3A//www.fda.gov/drugs/approved-drugs/pembrolizumab-keytruda-5-10-2017</t>
  </si>
  <si>
    <t xml:space="preserve">Pembrolizumab (Keytruda) 5-10-2017
Share
Tweet
Linkedin
Email
Print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1%&gt;1%&gt;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
Resources for Information | Approved Drugs
Drug Information Soundcast in Clinical Oncology (D.I.S.C.O.)
Approved Drug Products with Therapeutic Equivalence Evaluations (Orange Book) Short Description</t>
  </si>
  <si>
    <t xml:space="preserve">ID_543</t>
  </si>
  <si>
    <t xml:space="preserve">FDA approved daratumumab (DARZALEX, Janssen Biotech, Inc.) in combination with lenalidomide and dexamethasone, or bortezomib and dexamethasone, for the treatment of patients with multiple myeloma who have received at least one prior therapy. More Information. November 21, 2016</t>
  </si>
  <si>
    <t xml:space="preserve">https://wayback.archive-it.org/7993/20170111064250/http%3A//www.fda.gov/Drugs/InformationOnDrugs/ApprovedDrugs/ucm530249.htm</t>
  </si>
  <si>
    <t xml:space="preserve">Daratumumab (DARZALEX)
Share
Tweet
Linkedin
Pin it
More sharing options
Linkedin
Pin it
Email
Print
On November 21, 2016, the U.S. Food and Drug Administration approved daratumumab (DARZALEX, Janssen Biotech, Inc.) in combination with lenalidomide and dexamethasone, or bortezomib and dexamethasone, for the treatment of patients with multiple myeloma who have received at least one prior therapy.
Daratumumab was previously granted accelerated approval in November 2015 as monotherapy for patients with multiple myeloma who have received at least three prior lines of therapy, including a proteasome inhibitor (PI) and an immunomodulatory agent, or who are double refractory to a PI and an immunomodulatory agent.
The current approval was based on two randomized, open-label trials in which daratumumab was added to standard therapies. The POLLUX trial (also known as MMY3003), demonstrated substantial improvement in progression-free survival (PFS) when daratumumab was added to lenalidomide and dexamethasone compared with lenalidomide and dexamethasone alone. The estimated median PFS had not been reached in the daratumumab arm and was 18.4 months in the control arm (HR=0.37; 95% CI: 0.27, 0.52; p&lt;0.0001), representing a 63% reduction in the risk of disease progression or death in patients treated with daratumumab.
Similar results were observed in the CASTOR trial (also known as MMY3004), which compared the combination of daratumumab, bortezomib, and dexamethasone with bortezomib and dexamethasone. The estimated median PFS was not reached in the daratumumab arm and was 7.2 months in the control arm (HR=0.39; 95% CI: 0.28, 0.53; p&lt;0.0001), representing a 61% reduction in the risk of disease progression or death for patients treated with daratumumab.
The most frequently reported adverse reactions (greater than or equal to 20%) in MMY3003 were infusion reactions, diarrhea, nausea, fatigue, pyrexia, upper respiratory tract infection, muscle spasm, cough and dyspnea. The most frequently reported adverse reactions (greater than or equal to 20%) in MMY3004 were infusion reactions, diarrhea, peripheral edema, upper respiratory tract infection, peripheral sensory Neutropenia and thrombocytopenia have been added to the Warnings and Precautions of the DARZALEX label.
The recommended dose of daratumumab is 16 mg/kg intravenously (calculated on actual body weight).
FDA granted daratumumab breakthrough therapy and orphan drug designation, as well as priority review. The current approval was granted three months prior to the PDUFA date of February 17, 2017.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</si>
  <si>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ID_554</t>
  </si>
  <si>
    <t xml:space="preserve">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</si>
  <si>
    <t xml:space="preserve">https://wayback.archive-it.org/7993/20170111064250/http%3A//www.fda.gov/Drugs/InformationOnDrugs/ApprovedDrugs/ucm501070.htm</t>
  </si>
  <si>
    <t xml:space="preserve">Lenvatinib in combination with Everolimus
Share
Tweet
Linkedin
Pin it
More sharing options
Linkedin
Pin it
Email
Print
On May 13, 2016, the U. S. Food and Drug Administration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The current approval was based on a randomized, multicenter study in patients with advanced or metastatic renal cell carcinoma who previously received anti-angiogenic therapy. The major efficacy outcome measure was investigator-assessed progression-free survival (PFS) evaluated according to RECIST v1.1. 
The trial randomized 153 patients 1:1:1 to lenvatinib 18 mg plus everolimus 5 mg (N=51), lenvatinib 24 mg monotherapy (N=52), or everolimus 10 mg monotherapy (N=50). All medications were administered orally once daily. Metastases were present in 95% of patients. Memorial Sloan Kettering Cancer Center favorable, intermediate, and poor risk prognostic categories were seen, respectively, in 24%, 37%, and 39% of patients receiving lenvatinib plus everolimus and were well balanced between arms.
The hazard ratio for the comparison of investigator-assessed PFS between lenvatinib plus everolimus and everolimus was 0.37 (95% CI: 0.22, 0.62). The median PFS was 14.6 (95% CI: 5.9, 20.1) months for the lenvatinib plus everolimus arm versus 5.5 (95% CI: 3.5, 7.1) months for patients on the everolimus arm. This treatment effect was supported by a retrospective independent review of radiographs in these two arms with an observed hazard ratio of0.43 (95% CI: 0.24, 0.75). The hazard ratio for a post-hoc, updated comparison of overall survival between the lenvatinib plus everolimus and everolimus arms was 0.67 (95% CI: 0.42, 1.08).
Comparison of investigator-assessed PFS between lenvatinib monotherapy and everolimus monotherapy supported the activity of lenvatinib in renal cell cancer. The combination of lenvatinib plus everolimus demonstrated numerically superior PFS, objective response rate, and overall survival, compared to lenvatinib monotherapy. There was no pre-specified plan for multiple comparisons. 
The most common adverse reactions (greater than 30%) with lenvatinib in combination with everolimus were diarrhea, fatigue, arthralgia/myalgia, decreased appetite, vomiting, nausea, stomatitis/oral inflammation, hypertension, peripheral edema, cough, abdominal pain, dyspnea, rash, decreased weight, bleeding events, and proteinuria. Diarrhea was increased with the combination of lenvatinib plus everolimus, 19 % grade 3-4, and was added to the package insert as a new safety Warning. 
The recommended dose and schedule is lenvatinib 18 mg plus everolimus 5 mg taken by mouth once daily.
This application was approved before the Prescription Drug User Fee Act (PDUFA) goal date of May 16, 2016. Lenvatinib in combination with everolimus received Breakthrough Therapy Designation for the treatment of advanced renal cell cancer following one prior anti-angiogenic therapy and the application was granted Priority Review.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http://www.accessdata.fda.gov/drugsatfda_docs/label/2016/206947s003lbl.pdf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</si>
  <si>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ID_560</t>
  </si>
  <si>
    <t xml:space="preserve">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</si>
  <si>
    <t xml:space="preserve">https://wayback.archive-it.org/7993/20170111064250/http%3A//www.fda.gov/Drugs/InformationOnDrugs/ApprovedDrugs/ucm488013.htm</t>
  </si>
  <si>
    <t xml:space="preserve">Obinutuzumab
Share
Tweet
Linkedin
Pin it
More sharing options
Linkedin
Pin it
Email
Print
On February 26, 2016, the U. S. Food and Drug Administration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This new approval was based on demonstration of an improvement in progression-free survival (PFS) in a randomized, open-label, multicenter trial in patients with FL who had no response to or have progressed during or within 6 months of a rituximab-containing regimen. This trial compared 6 cycles of obinutuzumab plus bendamustine combination therapy followed by continued obinutuzumab monotherapy for up to 2 years with 6 cycles of bendamustine therapy. 
Efficacy was assessed in 321 patients with follicular lymphoma randomized to either obinutuzumab plus bendamustine (n=155) or bendamustine (n=166). The median age was 63 years (range 34-87). Patients had received a median of 2 prior therapies (range 1-10). The independent review assessed median PFS was 13.8 months in the bendamustine arm while the median PFS was not reached in the obinutuzumab plus bendamustine arm [HR 0.48 (95% CI: 0.34-0.68), log-rank test p-value &lt; 0.0001).
This trial also enrolled 46 patients with marginal zone lymphoma and 28 with small lymphocytic lymphoma who were also included in the safety analysis. The most common adverse reactions (greater than or equal to 10%) in the safety population treated with obinutuzumab plus bendamustine followed by obinutuzumab monotherapy were infusion reactions, neutropenia, nausea, fatigue, cough, diarrhea, constipation, pyrexia, thrombocytopenia, vomiting, upper respiratory tract infection, decreased appetite, arthralgia, sinusitis, anemia, asthenia and urinary tract infection. Serious adverse reactions were reported in 38% of patients treated with obinutuzumab plus bendamustine followed by obinutuzumab monotherapy. The most common serious adverse reactions (greater than 2%) were febrile neutropenia, neutropenia, infusion related reactions, sepsis, pneumonia and pyrexia.
The recommended dose and schedule for the regimen follows:
Obinutuzumab: 1000 mg by intravenous infusion on days 1, 8 and 15 of cycle 1; on day 1 of cycles 2-6 (28-day cycles); and then every 2 months for 2 years. 
Bendamustine: 90 mg/m2 by intravenous infusion on days 1 and 2 of cycles 1-6.
This application was granted Priority Review.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http://www.accessdata.fda.gov/drugsatfda_docs/label/2016/125486s013lbl.pdf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</si>
  <si>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ID_561</t>
  </si>
  <si>
    <t xml:space="preserve">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</si>
  <si>
    <t xml:space="preserve">https://wayback.archive-it.org/7993/20170111064250/http%3A//www.fda.gov/Drugs/InformationOnDrugs/ApprovedDrugs/ucm487080.htm</t>
  </si>
  <si>
    <t xml:space="preserve">Palbociclib (IBRANCE Capsules)
Share
Tweet
Linkedin
Pin it
More sharing options
Linkedin
Pin it
Email
Print
On February 19, 2016, the U. S. Food and Drug Administration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In February 2015, FDA granted accelerated approval for palbociclib in combination with letrozole for the treatment of HR-positive, HER2-negative advanced breast cancer as initial endocrine based therapy in postmenopausal women.
Today’s approval is based on the demonstration of an improvement in progression - free survival (PFS) in an international, randomized, double-blind, parallel group, multicenter study comparing palbociclib plus fulvestrant to placebo plus fulvestrant. Women enrolled had HR-positive, HER2-negative advanced or metastatic breast cancer with disease progression on or after prior adjuvant or metastatic endocrine therapy. 
A total of 521 pre- and postmenopausal women were randomized (2:1) to either palbociclib plus fulvestrant or placebo plus fulvestrant until disease progression or unacceptable toxicity. Palbociclib was administered orally at a dose of 125 mg daily for 21 consecutive days followed by 7 days off treatment. Fulvestrant was administered intramuscularly at a dose of 500 mg on days 1, 15, 29 and once monthly thereafter. Pre- or perimenopausal women were enrolled in the study and received the LHRH agonist, goserelin, for at least 4 weeks prior to and for the study’s duration.
Among the 521 patients, 80% were postmenopausal, all patients had received prior systemic therapy, and 75% had received a previous chemotherapy regimen. Twenty-five percent had not received prior therapy for metastatic disease, 60% had visceral metastases, and 23% had bone only disease.
The major efficacy outcome measure was investigator-assessed PFS evaluated according to RECIST V1.1. The study demonstrated an improvement in PFS with a hazard ratio of 0.46 (95% CI: 0.36, 0.59; p&lt;0.0001). The median PFS was 9.5 versus 4.6 months for patients treated in the palbociclib plus fulvestrant and placebo plus fulvestrant arms, respectively. 
Safety data was evaluated in 345 patients who received palbociclib plus fulvestrant. The most common (greater than or equal to 10%) of grade 1-4 adverse reactions were neutropenia, leukopenia, infections, fatigue, nausea, anemia, stomatitis, headache, diarrhea, thrombocytopenia, constipation, vomiting, alopecia, rash, decreased appetite, and pyrexia. The most common (greater than or equal to 5%) grade 3-4 adverse reactions were neutropenia (66%) and leukopenia (31%). 
The most frequently reported serious adverse reactions in patients receiving palbociclib plus fulvestrant were infections, pyrexia, neutropenia, and pulmonary embolism). Dose reductions due to an adverse reaction of any grade occurred in 36% of patients and permanent discontinuation associated with an adverse reaction occurred in 6% of patients. 
The recommended dose and schedule of palbociclib is 125 mg daily for 21 consecutive days followed by 7 days off treatment in combination with fulvestrant treatment. The dose and schedule of fulvestrant is 500 mg intramuscularly on days 1, 15, 29 and once monthly thereafter.
Palbociclib is being approved prior to the Prescription Drug User Fee Act (PDUFA) goal date of April 15, 2016. This application was granted Priority Review and Breakthrough Therapy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http://www.accessdata.fda.gov/drugsatfda_docs/label/2016/207103s002lbl.pdf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</si>
  <si>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ID_568</t>
  </si>
  <si>
    <t xml:space="preserve">FDA approved elotuzumab (EMPLICITI, Bristol-Myers Squibb Company) in combination with lenalidomide and dexamethasone for the treatment of patients with multiple myeloma who have received one to three prior therapies. More Information. November 30, 2015</t>
  </si>
  <si>
    <t xml:space="preserve">https://wayback.archive-it.org/7993/20170111064250/http%3A//www.fda.gov/Drugs/InformationOnDrugs/ApprovedDrugs/ucm474719.htm</t>
  </si>
  <si>
    <t xml:space="preserve">Elotuzumab
Share
Tweet
Linkedin
Pin it
More sharing options
Linkedin
Pin it
Email
Print
On November 30, 2015, the U. S. Food and Drug Administration approved elotuzumab (EMPLICITI, Bristol-Myers Squibb Company) in combination with lenalidomide and dexamethasone for the treatment of patients with multiple myeloma who have received one to three prior therapies. 
Elotuzumab is a monoclonal antibody directed against Signaling Lymphocyte Activation Molecule Family 7 (SLAMF7). SLAMF7 is present on myeloma cells and is also present on natural killer cells.
The approval was based on a multicenter, randomized, open-label, controlled trial evaluating progression-free survival (PFS) and overall response rate (ORR) in patients with relapsed or refractory multiple myeloma who had received 1 to 3 prior lines of therapy. A total of 646 patients were randomized (1:1) to receive elotuzumab in combination with lenalidomide and dexamethasone (n=321) or lenalidomide plus dexamethasone alone (n=325). Patients continued treatment until disease progression or the development of unacceptable toxicity.
The trial demonstrated a statistically significant improvement in both PFS and ORR, the trial’s co-primary endpoints. The median PFS in the elotuzumab-containing arm was 19.4 months and 14.9 months in the lenalidomide plus dexamethasone alone arm (hazard ratio 0.70, 95% CI: 0.57, 0.85; p = 0.0004). The ORR in the elotuzumab-containing arm was 78.5% (95% CI: 73.6, 82.9) compared to 65.5% (95% CI: 60.1, 70.7) in the lenalidomide plus dexamethasone alone arm (p=0.0002).
The safety data reflect exposure in 318 patients to elotuzumab in combination with lenalidomide and dexamethasone and 317 patients to lenalidomide plus dexamethasone. The most common adverse reactions (greater than or equal to 20%), with an increased rate in the elotuzumab arm compared to the control arm, were fatigue, diarrhea, pyrexia, constipation, cough, peripheral neuropathy, nasopharyngitis, upper respiratory tract infection, decreased appetite, and pneumonia.
Other important adverse reactions include infusion reactions, infections, second primary malignancies, hepatotoxicity, and interference with determination of complete response. As elotuzumab is an IgG kappa monoclonal antibody, it can be detected in the serum protein electrophoresis and immunofixation assays used to assess response.
Serious adverse events occurred in 65.4% of patients in the elotuzumab-containing arm compared to 56.5% in the lenalidomide plus dexamethasone alone arm. The most common serious adverse reactions were pneumonia, pyrexia, respiratory tract infection, anemia, pulmonary embolism, and acute renal failure.
The recommended dose and schedule for elotuzumab is 10 mg/kg intravenously every week for the first two cycles and every 2 weeks, thereafter, until disease progression or unacceptable toxicity with lenalidomide 25 mg daily orally on days 1 through 21. Dexamethasone is administered as follows: In weeks with elotuzumab infusion, dexamethasone is to be administered in divided doses, 8 mg intravenously prior to infusion and 28 mg orally; in weeks without elotuzumab infusion, dexamethasone is to be administered 40 mg orally. Pre-medication with an H1 blocker, H2 blocker, and acetaminophen should be administered prior to elotuzumab infusion.
Elotuzumab is being approved prior to the Prescription Drug User Fee Act (PDUFA) goal date of February 29, 2016. This application was granted priority review and had breakthrough therapy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http://www.accessdata.fda.gov/drugsatfda_docs/label/2015/761035s000lbl.pdf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</si>
  <si>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ID_569</t>
  </si>
  <si>
    <t xml:space="preserve">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</si>
  <si>
    <t xml:space="preserve">https://wayback.archive-it.org/7993/20170111064250/http%3A//www.fda.gov/Drugs/InformationOnDrugs/ApprovedDrugs/ucm474278.htm</t>
  </si>
  <si>
    <t xml:space="preserve">Necitumumab
Share
Tweet
Linkedin
Pin it
More sharing options
Linkedin
Pin it
Email
Print
On November 24, 2015, the U.S. Food and Drug Administration granted approval to necitumumab (PORTRAZZA, Eli Lilly and Company) in combination with gemcitabine and cisplatin for first-line treatment of patients with metastatic squamous non-small cell lung cancer (NSCLC). Necitumumab is not indicated for treatment of non-squamous NSCLC.
 Necitumumab is a recombinant human IgG1 monoclonal antibody that binds to the human epidermal growth factor receptor (EGFR) and blocks the binding of EGFR to its ligands. 
Approval was based on superior overall survival (OS) for patients who were randomly allocated to necitumumab in combination with gemcitabine and cisplatin (GC) compared to GC alone in an open-label, multicenter, multinational, randomized trial in patients with metastatic squamous NSCLC who had not received prior therapy for metastatic disease (N=1093). Patients received necitumumab 800 mg by intravenous infusion on days 1 and 8, gemcitabine 1250 mg /m2 on days 1 and 8 plus cisplatin 75mg/m2 on day 1 of each 3-week cycle (N=545) or GC alone (N=548). The major efficacy outcome was OS. Progression-free survival (PFS) and overall response rate (ORR) were also assessed. Necitumumab in combination with GC demonstrated a statistically significant improvement in OS and PFS as compared with GC alone. Median OS was 11.5 months (95% CI: 10.4, 12.6) for patients assigned to necitumumab plus GC and 9.9 months (95% CI: 8.9, 11.1) for those assigned to GC alone [HR 0.84, 95% CI (0.74, 0.96); p-value = 0.01)]. Median PFS was 5.7 months for patients assigned to necitumumab plus GC and 5.5 months for those assigned to GC alone [HR=0.85, 95% CI (0.74, 0.98); p-value 0.02]. No difference in ORR between arms was observed with an ORR of 31% (95% CI: 27, 35) for necitumumab plus GC and 29% (95% CI: 25, 33) for GC alone, p-value 0.40.
Lack of efficacy of necitumumab in combination with pemetrexed and cisplatin (PC) for the treatment of patients with metastatic non-squamous NSCLC was determined in a randomized, open-label, multicenter trial. Patients with no prior chemotherapy for metastatic disease were randomized (1:1) to receive necitumumab plus PC or PC alone. The study was closed prematurely after 633 patients were enrolled due to increased incidence of death due to any cause and of thromboembolic events in the necitumumab arm. Addition of necitumumab to PC did not improve OS [HR=1.01; 95% CI (0.84, 1.21); p-value = 0.96)]; PFS [HR=0.96; 95% CI (0.8, 1.16)] or ORR (31% in the necitumumab plus PC arm and 32% in the PC alone arm).
The most common adverse reactions (all grades) observed in necitumumab-treated patients at rate of greater than or equal to 30% and greater than or equal to 2% higher than GC alone arm were rash and hypomagnesemia. Serious and clinically significant adverse events include hypomagnesemia, venous and arterial thromboembolic events, dermatologic toxicities, infusion reactions, and increased toxicity and increased mortality in patients with non-squamous NSCLC. Death attributed to cardiovascular events or sudden death was reported in 3% of the patients in the necitumumab plus gemcitabine and cisplatin arm. Health care providers should closely monitor serum electrolytes, including serum magnesium, potassium, and calcium, during and after necitumumab administration. Withhold necitumumab for grade 3 or 4 electrolyte abnormalities.
The recommended dose of necitumumab is 800 mg as an intravenous infusion over 60 minutes on days 1 and 8 of each 3-week cycle.
Full prescribing information is available: http://www.accessdata.fda.gov/drugsatfda_docs/label/2015/125547s000lbl.pdf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</si>
  <si>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ID_571</t>
  </si>
  <si>
    <t xml:space="preserve">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</si>
  <si>
    <t xml:space="preserve">https://wayback.archive-it.org/7993/20170111064250/http%3A//www.fda.gov/Drugs/InformationOnDrugs/ApprovedDrugs/ucm476837.htm</t>
  </si>
  <si>
    <t xml:space="preserve">Trametinib/Dabrafenib
Share
Tweet
Linkedin
Pin it
More sharing options
Linkedin
Pin it
Email
Print
On November 20, 2015, the U. S. Food and Drug Administration (FDA)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Trametinib and dabrafenib for use in combination received accelerated approval in 2014, based on an improvement in durable objective response rates compared to dabrafenib or trametinib as single agents. Two new clinical trials described below verify the clinical benefit of the combination.
The first trial enrolled 423 patients who were randomized (1:1) to dabrafenib plus trametinib (n=211) or dabrafenib plus placebo (n=212). All patients had tumor containing BRAF V600E or V600K mutations as determined by centralized testing, 85% with BRAF V600E mutations and 15% with BRAF V600K mutations. The trial met its primary endpoint, demonstrating a significant improvement in investigator-assessed PFS [HR 0.75 (95% CI: 0.57, 0.99); p=0.035] with median PFS of 9.3 and 8.8 months in the dabrafenib/trametinib and dabrafenib/placebo arms, respectively. In addition, there was a significant improvement in OS [HR=0.71 (95% CI: 0.55, 0.92); p=0.01] with a median OS of 25.1 and 18.7 months in the dabrafenib/trametinib and dabrafenib/placebo arms, respectively. The overall response rates were 66% and 51% with median response durations of 9.2 and 10.2 months.
The second trial enrolled 704 patients who were randomized (1:1) to trametinib and dabrafenib (n=352) or to vemurafenib as a single agent (n=352). The trial met its primary endpoint, demonstrating a significant improvement in OS [HR 0.69 (95% CI: 0.53, 0.89); p=0.005]; the median OS had not been reached in combination arm and was 17.2 months in the vemurafenib arm. In addition, there was a significant improvement in PFS [HR 0.56 (95% CI: 0.46, 0.69); p &lt;0.001]with a median OS of 11.4 and 7.3 months in the combination and vemurafenib arms, respectively. The overall response rates were 64% and 51%with median response durations of 13.8 and 7.5 months in the combination and vemurafenib arms, respectively.
Safety was evaluated in the 559 patients who received dabrafenib with trametinib. The most common adverse reactions (greater than or equal to 20%) were pyrexia, nausea, rash, chills, diarrhea, headache, vomiting, hypertension, arthralgia, peripheral edema, and cough. Clinically significant serious adverse drug reactions were serious febrile reactions, cardiomyopathy, interstitial lung disease, new primary cutaneous and non-cutaneous malignancies, hemorrhage, venous thromboembolism, hyperglycemia, serious skin toxicity, uveitis, retinal pigment epithelial detachment, and retinal vein occlusion.
The recommended trametinib dose is 2 mg orally once daily until disease progression or unacceptable toxicity occurs. The recommended dabrafenib dose is 150 mg orally twice daily until disease progression or unacceptable toxicity occurs.
Full prescribing information is available at: 
Trametinib:
http://www.accessdata.fda.gov/drugsatfda_docs/label/2015/204114s004lbl.pdf
Dabrafenib:
http://www.accessdata.fda.gov/drugsatfda_docs/label/2015/202806s004lbl.pdf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</si>
  <si>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ID_572</t>
  </si>
  <si>
    <t xml:space="preserve">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</si>
  <si>
    <t xml:space="preserve">https://wayback.archive-it.org/7993/20170111064250/http%3A//www.fda.gov/Drugs/InformationOnDrugs/ApprovedDrugs/ucm473804.htm</t>
  </si>
  <si>
    <t xml:space="preserve">Ixazomib
Share
Tweet
Linkedin
Pin it
More sharing options
Linkedin
Pin it
Email
Print
On November 20, 2015, the U.S. Food and Drug Administration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The approval was based on an improvement in progression- free survival (PFS) in a multicenter, randomized, double-blind, placebo-controlled trial enrolling 722 patients with multiple myeloma who had received 1 to 3 prior lines of therapy. Patients were randomized in a 1:1 ratio to either the combination of ixazomib, lenalidomide and dexamethasone (n=360) or the combination of placebo, lenalidomide and dexamethasone (n=362). Patients continued treatment until disease progression or unacceptable toxicity. 
The trial showed a statistically significant improvement in PFS. The median PFS on the combination arm of ixazomib, lenalidomide and dexamethasone was 20.6 months
(95% CI: 17.0, NE) compared to a median PFS of 14.7 months (95% CI: 12.9, 17.6) on the combination arm of placebo, lenalidomide and dexamethasone (PFS HR 0.74, 95% CI: 0.59, 0.94; p value=0.012).
The more common (&gt;20%) adverse reactions associated with an increased rate on the ixazomib combination arm compared to the placebo combination arm were diarrhea, constipation, thrombocytopenia, peripheral neuropathy, nausea, peripheral edema, vomiting, and back pain.
The recommended starting dose of ixazomib is 4 mg orally on days 1, 8, and 15 of a 28 day cycle in combination with lenalidomide 25 mg daily on days 1 through 21 and dexamethasone 40 mg on days 1, 8, 15, and 22 of a 28 day treatment cycle.
This application was approved before its Prescription Drug User Fee Act (PDUFA) date of March 10, 2016. The application was granted Priority Review. A description of expedited review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http://www.accessdata.fda.gov/drugsatfda_docs/label/2015/208462lbl.pdf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</si>
  <si>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ID_575</t>
  </si>
  <si>
    <t xml:space="preserve">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</si>
  <si>
    <t xml:space="preserve">https://wayback.archive-it.org/7993/20170111064250/http%3A//www.fda.gov/Drugs/InformationOnDrugs/ApprovedDrugs/ucm472193.htm</t>
  </si>
  <si>
    <t xml:space="preserve">Cobimetinib
Share
Tweet
Linkedin
Pin it
More sharing options
Linkedin
Pin it
Email
Print
On November 10, 2015, the U.S. Food and Drug Administration approved cobimetinib (COTELLIC Tablets, Genentech, Inc.) for the treatment of patients with unresectable or metastatic melanoma with a BRAF V600E or V600K mutation, in combination with vemurafenib. Cobimetinib is not indicated for treatment of patients with wild-type BRAF melanoma.
The approval was based on the demonstration of improved progression-free survival (PFS) and overall survival (OS) in a multicenter, double-blind, randomized, active-controlled trial conducted in 495 patients with previously untreated, BRAF V600 mutation-positive, unresectable or metastatic melanoma as detected using the cobas 4800 BRAF V600 mutation test. All patients received vemurafenib 960 mg orally twice daily and were randomized (1:1) to receive cobimetinib 60 mg (n=247) or matching placebo (n=248) orally once daily on days 1-21 of an every 28-day cycle. The median age of the study population was 55 years (range 23 to 88 years), 58% of patients were male, 93% were White and 5% had no race reported, 60% had stage M1c disease, 72% had a baseline ECOG performance status of 0, 45% had an elevated baseline serum lactate dehydrogenase (LDH), 10% had received prior adjuvant therapy, and less than 1% had previously treated brain metastases.
The trial demonstrated a statistically significant improvement in PFS [HR: 0.56 (95% CI: 0.45, 0.70), p &lt; 0.001]; the median PFS was 12.3 months (95% CI: 9.5, 13.4) and 7.2 months (95% CI: 5.6, 7.5) on the cobimetinib plus vemurafenib and single-agent vemurafenib arms, respectively. The trial also demonstrated a statistically significant improvement in OS based on an interim analysis [HR: 0.63 (95% CI: 0.47, 0.85); stratified log-rank p-value=0.0019]; the median OS was not reached (NR) (95% CI: 20.7, NR) and was 17 months (95% CI: 15.0, NR) on the cobimetinib plus vemurafenib and single-agent vemurafenib arms, respectively. The confirmed objective response rates were 70% (95% CI: 64, 75) and 50% (95% CI: 44, 56) on the cobimetinib plus vemurafenib and single-agent vemurafenib arms, respectively (p &lt; 0.001).
Safety data was evaluated in 247 patients who received at least one dose of cobimetinib. The most common adverse reactions were diarrhea (60%), photosensitivity reaction (46%), nausea (41%), pyrexia (28%), and vomiting (24%). The most common (greater than or equal to 5%) Grade 3-4 adverse reaction was diarrhea (6%). The most common Grade 3-4 laboratory abnormalities with cobimetinib were increased GGT (21%), increased creatine phosphokinase (14%), hypophosphatemia (12%), increased alanine aminotransferase (11%), lymphopenia (10%), increased aspartate aminotransferase (8%), increased alkaline phosphatase (7%), hyponatremia (6%), and hypokalemia (5%).
The most serious risks in patients receiving cobimetinib were new primary malignancies, hemorrhage, cardiomyopathy, severe dermatologic reactions, serous retinopathy and retinal vein occlusion, hepatotoxicity, rhabdomyolysis, and severe photosensitivity reactions.
The recommended dose and schedule of cobimetinib is 60 mg orally once daily on days 1-21 of an every 28-day cycle.
The development program for cobimetinib for this indication was designated as a Fast Track development program for this indication and this application received Priority Review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http://www.accessdata.fda.gov/drugsatfda_docs/label/2015/206192s000lbl.pdf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</si>
  <si>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ID_579</t>
  </si>
  <si>
    <t xml:space="preserve">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</si>
  <si>
    <t xml:space="preserve">https://wayback.archive-it.org/7993/20170111064250/http%3A//www.fda.gov/Drugs/InformationOnDrugs/ApprovedDrugs/ucm468728.htm</t>
  </si>
  <si>
    <t xml:space="preserve">Irinotecan liposome injection
Share
Tweet
Linkedin
Pin it
More sharing options
Linkedin
Pin it
Email
Print
On October 22, 2015, the U. S. Food and Drug Administration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Irinotecan liposome is not approved for use as a single agent for the treatment of patients with metastatic adenocarcinoma of the pancreas.
The approval was based on the demonstration of improved overall survival (OS) in a multicenter, randomized, open-label, active-controlled, three-arm trial enrolling 417 patients with metastatic pancreatic adenocarcinoma with documented disease progression after gemcitabine-based therapy. Patients were randomly allocated (1:1:1) to receive irinotecan liposome in combination with 5FU and LV (n=117), irinotecan liposome (n=151), or 5FU and LV (n=149) until disease progression or unacceptable toxicity. Patients homozygous for the UGT1A1*28 allele initiated treatment with irinotecan liposome at a reduced dose in the two irinotecan liposome-containing arms. The primary study endpoint was OS, with comparisons of each of the two irinotecan liposome-containing arms with the 5FU/LV control arm; progression-free survival (PFS) and overall response rate (ORR) were secondary endpoints. 
The trial showed a statistically significant improvement in OS [HR 0.68 (95% CI: 0.50, 0.93), p=0.014, log-rank test] for patients randomized to receive irinotecan liposome in combination with 5FU and LV compared to those randomized to receive 5FU/LV; the median OS was 6.1 and 4.2 months, respectively. PFS was also significantly longer in patients randomized to receive irinotecan liposome plus 5FU/ LV compared to those randomized to receive 5FU/LV [HR 0.55 (95% CI: 0.41, 0.75)], with median PFS of 3.1 and 1.5 months, respectively. The ORR was low in both arms (7.7% vs. 0.8%). There was no improvement in OS for patients randomized to receive irinotecan liposome alone compared to those randomized to receive 5FU/LV [hazard ratio=1.00, p =0.97].
Serious risks of irinotecan liposome injection include neutropenic fever or sepsis, severe diarrhea, and interstitial lung disease. Severe hypersensitivity reactions have occurred with irinotecan hydrochloride; irinotecan liposome injection is contraindicated in patients with severe allergic reactions to irinotecan liposome or irinotecan hydrochloride. The most common adverse drug reactions were diarrhea, fatigue/asthenia, vomiting, nausea, decreased appetite, stomatitis, and pyrexia. The most common severe (Grade 3-4) laboratory abnormalities were lymphopenia, and neutropenia. The most frequent adverse reactions resulting in discontinuationof irinotecan liposome were diarrhea, vomiting, and sepsis. The most frequent adverse reactions leading to dose reductions or delays were neutropenia, diarrhea, nausea/vomiting, anemia, fatigue, and thrombocytopenia.
The recommended dose and schedule of irinotecan liposome is 70 mg/m2 administered by intravenous infusion over 90 minutes, prior to leucovorin and fluorouracil, every two weeks. For patients homozygous for the UGT1A1*28 allele, the recommended starting dose of irinotecan liposome is 50 mg/m2 every two weeks.
Full prescribing information is available at: http://www.accessdata.fda.gov/drugsatfda_docs/label/2015/207793lbl.pdf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</si>
  <si>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ID_583</t>
  </si>
  <si>
    <t xml:space="preserve">FDA granted accelerated approval to nivolumab (Opdivo Injection, Bristol-Myers Squibb Company) in combination with ipilimumab for the treatment of patients with BRAF V600 wild-type, unresectable or metastatic melanoma. More Information. September 30, 2015</t>
  </si>
  <si>
    <t xml:space="preserve">https://wayback.archive-it.org/7993/20170111064250/http%3A//www.fda.gov/Drugs/InformationOnDrugs/ApprovedDrugs/ucm465274.htm</t>
  </si>
  <si>
    <t xml:space="preserve">Nivolumab in combination with ipilimumab
Share
Tweet
Linkedin
Pin it
More sharing options
Linkedin
Pin it
Email
Print
On September 30, 2015, the U. S. Food and Drug Administration granted accelerated approval to nivolumab (Opdivo Injection, Bristol-Myers Squibb Company) in combination with ipilimumab for the treatment of patients with BRAF V600 wild-type, unresectable or metastatic melanoma.
Approval was based on demonstration of an increase in the objective response rate (ORR), prolonged response durations, and improvement in progression-free survival (PFS) in an international, multicenter, double-blind, randomized, two-arm, active-controlled trial in patients who were previously untreated for unresectable or metastatic, BRAF V600 wild-type melanoma.
The clinical trial randomized (2:1) 142 patients to receive nivolumab plus ipilimumab (n=95) or ipilimumab plus placebo (n=47). Randomization was stratified by BRAF V600 mutation status based on an FDA-approved test. Patients in the nivolumab plus ipilimumab arm received nivolumab 1 mg/kg and ipilimumab 3 mg/kg intravenously every 3 weeks for four doses, then nivolumab 3 mg/kg every 2 weeks until disease progression or unacceptable toxicity. Patients in the ipilimumab arm received ipilimumab 3 mg/kg and nivolumab-matched placebo intravenously every 3 weeks for four doses followed by placebo. At the time of disease progression, patients on the ipilimumab arm were offered nivolumab 3 mg/kg every 2 weeks.
Of the 109 patients with BRAF V600 wild-type melanoma, the median age was 66 years and ECOG performance score was 0 (84%) or 1 (15%). Forty-six percent had M1c disease and 20% had elevated baseline LDH.
The trial demonstrated a significant improvement in ORR. The ORR was 60% [95% confidence interval (CI): 48, 71] in the nivolumab plus ipilimumab group (n=72) and 11% [95% CI: 3, 25] in the ipilimumab group (n=37), an improvement in ORR of 49% (95% CI: 31, 61; p-value &lt;0.001). Of the 43 patients with an objective response in the nivolumab plus ipilimumab group, 9 patients (21%) with response duration ranging from 3 to 7 months have progressed after response, died, or received subsequent therapy. The remaining 34 patients (79%) had ongoing responses at the time of final analysis; in 14 patients the duration of ongoing responses is at least 6 months but less than 9 months and in 20 patients the duration of ongoing responses is at least 9 months. In addition, there was a significant improvement in PFS for the combination group compared with the ipilimumab group [HR 0.40 (95% CI: 0.22, 0.71); p-value &lt; 0.002] with an estimated median PFS of 8.9 and 4.7 months in the nivolumab plus ipilimumab and ipilimumab groups, respectively.
Among the 140 patients with BRAF V600 wild-type or mutation-positive melanoma who received at least one dose of nivolumab or ipilimumab, serious adverse reactions (62% vs. 39%), adverse reactions leading to permanent discontinuation (43% vs. 11%) or dose delay (47% vs. 22%), and grade 3 or 4 adverse reactions (69% vs. 43%) all occurred more frequently in patients receiving the combination (n= 94) compared with those receiving single-agent ipilimumab (n=46). The most frequent serious adverse reactions in patients receiving the combination were colitis (17%), diarrhea (9%), pyrexia (6%), and pneumonitis (5%). Additional clinically significant immune-mediated adverse reactions included pneumonitis, hepatitis, endocrinopathies, nephritis/renal dysfunction, and rash.
Common adverse reactions (greater than or equal to 20%) in patients receiving nivolumab plus ipilimumab were rash, pruritus, headache, vomiting, and colitis. The most frequent grade 3 and 4 laboratory abnormalities occurring in at least 5% of patients receiving the combination were increased ALT, increased AST, increased lipase, increased amylase, hyponatremia, and lymphopenia.
When used in combination with ipilimumab, the recommended dose and schedule is nivolumab 1 mg/kg administered as an intravenous infusion over 60 minutes, followed by ipilimumab on the same day, every 3 weeks for four doses. The recommended subsequent dose of nivolumab, as a single agent, is 3 mg/kg as an intravenous infusion over 60 minutes every 2 weeks until disease progression or unacceptable toxicity.
Full prescribing information is available: http://www.accessdata.fda.gov/drugsatfda_docs/label/2015/125554s002lbl.pdf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</si>
  <si>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ID_587</t>
  </si>
  <si>
    <t xml:space="preserve">FDA approved carfilzomib (Kyprolis, Onyx Pharmaceuticals, Inc., an Amgen subsidiary) in combination with lenalidomide and dexamethasone for the treatment of patients with relapsed multiple myeloma who have received one to three prior lines of therapy. More Information. July 24, 2015</t>
  </si>
  <si>
    <t xml:space="preserve">https://wayback.archive-it.org/7993/20170111064250/http%3A//www.fda.gov/Drugs/InformationOnDrugs/ApprovedDrugs/ucm455873.htm</t>
  </si>
  <si>
    <t xml:space="preserve">Carfilzomib /Kyprolis
Share
Tweet
Linkedin
Pin it
More sharing options
Linkedin
Pin it
Email
Print
On July 24, 2015, the U. S. Food and Drug Administration approved carfilzomib (Kyprolis, Onyx Pharmaceuticals, Inc., an Amgen subsidiary) in combination with lenalidomide and dexamethasone for the treatment of patients with relapsed multiple myeloma who have received one to three prior lines of therapy.
The approval was based on a demonstration of improved progression-free survival (PFS) in a multicenter, open-label trial (PX-171-009 ASPIRE). The trial enrolled 792 patients with relapsed or refractory multiple myeloma after 1-3 lines of prior therapies. The patients were randomized (1:1) to receive lenalidomide and dexamethasone with or without carfilzomib for 18 cycles. Lenalidomide and dexamethasone were continued thereafter until disease progression. There was no planned cross-over from the control arm to treatment with carfilzomib.
A statistically significant prolongation of PFS, as determined by an independent review committee, was demonstrated [HR 0.69 (95% CI: 0.57, 0.83); p = 0.0001, stratified log-rank test]. Median PFS was 26.3 months in the 3-drug arm and 17.6 months in the 2-drug arm. A treatment effect was observed across all subgroups tested, but the magnitude of the treatment effect was reduced in patients with higher tumor burden at study baseline (improvement in median PFS 11 months for ISS Stage I, 8 months for ISS Stage II and 2 months for ISS Stage III). 
An interim analysis of overall survival (OS), the key secondary endpoint, was conducted at the same time. The difference in OS did not reach the prespecified boundary for statistical significance. A partial response or better was achieved by 87% of patients on the 3-drug arm and 67% on the 2-drug arm.
The safety profile of carfilzomib in the 3-drug combination was similar to that described in the current label. Cardiovascular events, venous thromboembolic events (VTE), and thrombocytopenia occurred more frequently in the 3-drug arm than in the 2-drug arm. 
In Cycles 1-12 of therapy, the VTE rate was 13% vs 6%, respectively, despite protocol-mandated use of thromboprophylaxis. 
The revised labeling includes new Warnings and Precautions for VTE, cardiac toxicities, acute renal failure, pulmonary toxicities, and hypertension. The increased safety risks, including mortality, for elderly patients is described. Detailed safety information in the prescribing information was also updated for use of carfilzomib monotherapy. 
Healthcare providers should note that the recommended dose-schedule for carfilzomib has been revised for use as monotherapy or in combination with lenalidomide and dexamethasone.
Full prescribing information, including clinical trial information, safety, dosing, drug-drug interactions and contraindications is available at: http://www.accessdata.fda.gov/drugsatfda_docs/label/2015/202714s009lbl.pdf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</si>
  <si>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ID_590</t>
  </si>
  <si>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</si>
  <si>
    <t xml:space="preserve">https://wayback.archive-it.org/7993/20170111064250/http%3A//www.fda.gov/Drugs/InformationOnDrugs/ApprovedDrugs/ucm444496.htm</t>
  </si>
  <si>
    <t xml:space="preserve">Ramucirumab mCRC
Share
Tweet
Linkedin
Pin it
More sharing options
Linkedin
Pin it
Email
Print
On April 24, 2015, the U. S. Food and Drug Administration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This approval is based on the results of a randomized, double-blind, multinational trial enrolling patients with mCRC that progressed during or within 6 months of discontinuation of bevacizumab-, oxaliplatin- and fluoropyrimidine-based combination chemotherapy.
The clinical trial accrued 1072 patients who were randomly allocated (1:1) to receive FOLFIRI plus placebo or FOLFIRI plus ramucirumab (N=536 per arm). Treatment cycles on both arms were repeated every 2 weeks and ramucirumab was administered at a dose of 8 mg/kg by intravenous infusion every two weeks. Ramucirumab was continued until disease progression or unacceptable toxicity. 
The primary efficacy endpoint was overall survival (OS). Treatment assignment was stratified by geographic region (North America vs. Europe vs. other regions), KRAS status (wild-type vs. mutant) and time to progression for the beginning of first-line treatment (&lt; 6 months vs. greater than or equal to 6 months). 
The median age of the study population was 62 years, 57% were men, and 99% had an ECOG performance status of 0 or 1. A statistically significant OS improvement was observed in patients receiving FOLFIRI plus ramucirumab compared to those receiving FOLFIRI plus placebo [HR 0.85 (95% CI: 0.73, 0.98), p=0.023, stratified log-rank test]. Median OS was 13.3 and 11.7 months for patients on the FOLFIRI plus ramucirumab and FOLFIRI plus placebo arms, respectively. PFS was also significantly improved in patients who received ramucirumab in combination with FOLFIRI [HR 0.79 (95% CI: 0.70, 0.90), p&lt;0.001]. Median PFS was 5.7 and 4.5 months, respectively. 
In general, the safety data was consistent with the known safety profile established in previously approved indications. However, thyroid dysfunction (hypothyroidism) was reported in 2.6% of patients based on thyroid monitoring in patients with mCRC.
The recommended dose and schedule in patients receiving ramucirumab in combination with FOLFIRI after progression on a first-line bevacizumab containing regimen is 8 mg/kg administered every 2 weeks as a 60-minute IV infusion. 
Full prescribing information is available at: 
http://www.accessdata.fda.gov/drugsatfda_docs/label/2015/125477s011lbl.pdf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</si>
  <si>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ID_591</t>
  </si>
  <si>
    <t xml:space="preserve">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</si>
  <si>
    <t xml:space="preserve">https://wayback.archive-it.org/7993/20170111064250/http%3A//www.fda.gov/Drugs/InformationOnDrugs/ApprovedDrugs/ucm437480.htm</t>
  </si>
  <si>
    <t xml:space="preserve">Dinutuximab
Share
Tweet
Linkedin
Pin it
More sharing options
Linkedin
Pin it
Email
Print
On March 10, 2015, the U. S. Food and Drug Administration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 Dinutuximab is a chimeric monoclonal antibody (also known as ch 14.18), composed of a combination of mouse and human DNA.
The approval was based on demonstration of improved event-free survival (EFS) and overall survival (OS) in a multicenter, open-label, randomized trial conducted by the Children’s Oncology Group. Prior to enrollment, patients had achieved at least a partial response to prior therapy for newly diagnosed high-risk neuroblastoma, consisting of induction combination chemotherapy, maximum feasible surgical resection, and myeloablative consolidation chemotherapy, and also received autologous stem cell transplant and radiation therapy. 
The trial randomized (1:1) 226 patients to either the dinutuximab/RA arm or the RA alone arm. Patients in each arm received six cycles of treatment. The dinutuximab/RA arm consisted of dinutuximab in combination with GM-CSF and RA (cycles 1, 3, and 5), dinutuximab in combination with IL-2 and RA (cycles 2 and 4), and RA (cycle 6). Patients were 11 months to 15 years of age (median age 3.8 years).
The major efficacy outcome measure was investigator-assessed EFS, defined as the time from randomization to the first occurrence of relapse, progressive disease, secondary malignancy, or death. At the seventh interim analysis, an improvement in EFS [HR 0.57 (95% CI: 0.37, 0.89); p = 0.01, log-rank test] was demonstrated and four remaining patients undergoing treatment on the RA arm crossed over to receive dinutuximab/RA. The median EFS was not reached (3.4 years, NR) in the dinutuximab/RA arm and was 1.9 years (1.3, NR) in the RA arm. An analysis of overall survival (OS) conducted three years later documented an improvement in OS in the dinutuximab/RA arm compared to the RA arm [HR 0.58 (95% CI: 0.37, 0.91)]. At the time of this survival analysis, median OS had not been reached in either arm.
Safety data was evaluated in 134 patients. The most common (greater than or equal to 25%) adverse drug reactions in the dinutuximab/RA group were pain, pyrexia, thrombocytopenia, infusion reactions, hypotension, hyponatremia, increased alanine aminotransferase, anemia, vomiting, diarrhea, hypokalemia, capillary leak syndrome, neutropenia, urticaria, hypoalbuminemia, increased aspartate aminotransferase, and hypocalcemia. The most common (greater than or equal to 5%) serious adverse reactions in the dinutuximab/RA group were infections, infusion reactions, hypokalemia, hypotension, pain, fever, and capillary leak syndrome.
Seventy-one percent of patients in the dinutuximab/RA arm and 77% of patients in the RA alone arm completed planned treatment. The most common reason for premature discontinuation of study therapy was adverse reactions in the dinutuximab/RA group (19%) and progressive disease (17%) in the RA group. 
The recommended dose and schedule for dinutuximab is 17.5 mg/m2/day as a diluted intravenous infusion over 10 to 20 hours for 4 consecutive days for up to 5 cycles. Patients require intravenous treatment with opioids prior to, during, and for 2 hours following the dinutuximab infusion to mitigate neuropathic pain. Patients also require prehydration and premedication to decrease the risk of hypotension and serious infusion reactions with dinutuximab.
Full prescribing information, including clinical trial information, safety, dosing, drug-drug interactions and contraindications is available at: http://www.accessdata.fda.gov/drugsatfda_docs/label/2015/125516s000lbl.pdf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Unituxin is a trademark of United Therapeutics Corporation.</t>
  </si>
  <si>
    <t xml:space="preserve">ID_594</t>
  </si>
  <si>
    <t xml:space="preserve">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</si>
  <si>
    <t xml:space="preserve">https://wayback.archive-it.org/7993/20170111064250/http%3A//www.fda.gov/Drugs/InformationOnDrugs/ApprovedDrugs/ucm435339.htm</t>
  </si>
  <si>
    <t xml:space="preserve">Panobinostat
Share
Tweet
Linkedin
Pin it
More sharing options
Linkedin
Pin it
Email
Print
On February 23, 2015, the U.S. Food and Drug Administration (FDA)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Panobinostat is a histone deacetylase inhibitor.
The approval was based on the results of progression-free survival (PFS) in a subgroup of patients from a randomized, international, two-arm, placebo-controlled trial evaluating panobinostat (or placebo) in combination with bortezomib and dexamethasone. In this pre-specified subgroup of 193 patients who had received prior treatment with bortezomib and an immunomodulatory agent, the median age was 60 years (range 28-79). 
The primary efficacy endpoint was PFS determined by investigators. The median PFS values were 10.6 and 5.8 months in the panobinostat-containing arm (panobinostat-bortezomib-dexamethasone) and control (placebo-bortezomib-dexamethasone), respectively [HR 0.52 (95% CI: 0.36, 0.76)]. Overall response rates were 58.5% (95% CI:47.9, 68.6) in the panobinostat arm and 41.4% (95% CI:31.6, 51.8) in the placebo arm.
Safety was evaluated in 758 patients with relapsed multiple myeloma who were treated with panobinostat-bortezomib-dexamethasone or placebo-bortezomib-dexamethasone. The most common adverse reactions (&gt;20%) on the panobinostat-containing arm were diarrhea, fatigue, nausea, peripheral edema, decreased appetite, pyrexia, and vomiting. Serious adverse reactions included pneumonia, diarrhea, thrombocytopenia, fatigue, and sepsis. There was an increased incidence in deaths not due to progressive disease (7% vs. 3.2%) on the panobinostat-containing arm.
The most common hematologic abnormalities included thrombocytopenia and neutropenia; the most common chemistry abnormalities were hypophosphatemia and hypokalemia. ECG changes, including new T-wave changes and ST-segment depressions, occurred in 64% of patients in the panobinostat-containing arm and 42% in the control arm. Arrhythmias occurred more frequently in patients receiving panobinostat compared to the control arm (12% vs. 5%).
Panobinostat is approved with a BOXED WARNING alerting patients and health care providers of severe and fatal cardiac toxicities and severe diarrhea. Hemorrhage and hepatotoxicity are other important safety concerns with panobinostat and are included in the WARNINGS and PRECAUTIONS section of the label.
 Recommended Treatment Regimen for Panobinostat
Treatment Phase 1: Cycles 1-8, 3 week cycles (Total time 24 weeks):
Panobinostat 20 mg orally once daily 3 times a week for 2 weeks per 3 week cycle
Bortezomib 1.3mg/m2 intravenously twice weekly for 2 weeks per 3 week cycle
Dexamethasone 20 mg orally per day of bortezomib and the day after each dose
Treatment Phase 2: Cycles 9-16, 3 week cycles (Total time 24 additional weeks):
Patients achieving clinical benefit (defined as a response category of ‘No Change’, PR, MR, nCR, or CR) without unresolved severe or medically significant toxicity may be considered for another 8 cycles of therapy at modified dosing.
Panobinostat 20 mg orally once daily 3 times a week for 2 weeks per 3 week cycle
Bortezomib 1.3mg/m2 intravenously once weekly for 2 weeks per 3 week cycle
Dexamethasone 20 mg orally per day of bortezomib and the day after each dose
Full prescribing information is available at: http://www.accessdata.fda.gov/drugsatfda_docs/label/2015/205353s000lbl.pdf
Healthcare professionals should report all serious adverse events suspected to be associated with the use of any medicine and device to FDA's MedWatch Reporting System by completing an online form at http://www.fda.gov/medwatch/report.htm, by faxing (1-800-FDA-0178) or mailing the postage-paid address form provided online, or by telephone (1-800-FDA-1088).
 </t>
  </si>
  <si>
    <t xml:space="preserve">ID_596</t>
  </si>
  <si>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</si>
  <si>
    <t xml:space="preserve">https://wayback.archive-it.org/7993/20170111064250/http%3A//www.fda.gov/Drugs/InformationOnDrugs/ApprovedDrugs/ucm432886.htm</t>
  </si>
  <si>
    <t xml:space="preserve">Palbociclib
Share
Tweet
Linkedin
Pin it
More sharing options
Linkedin
Pin it
Email
Print
On February 3, 2015, the U. S. Food and Drug Administration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Palbociclib is an inhibitor of cyclin-dependent kinase (CDK) 4 and 6. In vitro palbociclib reduced cellular proliferation of ER-positive breast cancer cell lines by blocking progression of cells from G1 into S phase of the cell cycle.
The approval of palbociclib is based on a randomized, multicenter, open-label trial in postmenopausal women with ER-positive, HER2-negative, advanced (locally advanced or metastatic) breast cancer who had not received previous systemic treatment for advanced disease. The trial enrolled 165 patients randomly allocated to receive either palbociclib (125 mg orally daily for 21 consecutive days, followed by 7 days off treatment) plus letrozole (2.5 mg daily continuously throughout the 28-day cycle) or letrozole alone.
Among the 165 patients, 43% had received chemotherapy and 33% had received anti-hormonal therapy as a neoadjuvant or adjuvant treatment. Forty- nine percent of patients had no prior systemic therapy in the neoadjuvant or adjuvant setting. The majority of patients (98%) had metastatic disease; 48% had visceral disease, 75% had bone disease and 19% had bone only disease.
The major efficacy outcome measure was investigator-assessed progression-free survival (PFS) evaluated according to Response Evaluation Criteria in Solid Tumors Version 1.0 (RECIST). Median investigator-assessed PFS was 20.2 months (95% CI 13.8, 27.5) in the palbociclib plus letrozole arm and 10.2 months (95% CI 5.7, 12.6) in the letrozole alone arm [Hazard Ratio (HR) 0.488 (95% CI 0.319, 0.748)]. The treatment effect of the combination on PFS was also supported by a retrospective radiographic independent review [HR 0.621 (95% CI: 0.378, 1.019).] Overall response rate in patients with measurable disease (investigator assessment) was higher in the palbociclib plus letrozole compared to the letrozole alone arm (55.4% versus 39.4%).
Most common adverse reactions (greater than or equal to 10%) were neutropenia, leukopenia, fatigue, anemia, upper respiratory infection, nausea, stomatitis, alopecia, diarrhea, thrombocytopenia, decreased appetite, vomiting, asthenia, peripheral neuropathy, and epistaxis. The most frequently reported serious adverse reactions in patients receiving palbociclib plus letrozole were pulmonary embolism (3 of 83; 4%) and diarrhea (2 of 83; 2%).
The recommended dose and schedule of palbociclib is 125 mg daily for 21 consecutive days followed by 7 days off treatment with letrozole 2.5 mg daily continuously throughout the 28-day cycle.
FDA granted palbociclib breakthrough therapy designation in April, 2013 based on preliminary evidence of clinical activity in this patient population. This accelerated approval is based on demonstration of an improvement in PFS. Continued approval for this indication may be contingent upon verification and description of clinical benefit in an on-going confirmatory trial.
Full prescribing information is available at: http://www.accessdata.fda.gov/drugsatfda_docs/label/2015/207103s000lbl.pdf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</si>
  <si>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ID_601</t>
  </si>
  <si>
    <t xml:space="preserve">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</si>
  <si>
    <t xml:space="preserve">https://wayback.archive-it.org/7993/20170111064250/http%3A//www.fda.gov/Drugs/InformationOnDrugs/ApprovedDrugs/ucm426735.htm</t>
  </si>
  <si>
    <t xml:space="preserve">Ramucirumab (Cyramza)
Share
Tweet
Linkedin
Pin it
More sharing options
Linkedin
Pin it
Email
Print
On December 12, 2014, the U. S. Food and Drug Administration approved ramucirumab (Cyramza Injection, Eli Lilly and Company) for use in combination with docetaxel for the treatment of patients with metastatic non-small cell lung cancer (NSCLC) with disease progression on or after platinum-based chemotherapy. Patients with EGFR or ALK genomic tumor aberrations should have disease progression on FDA-approved therapy for these aberrations prior to receiving ramucirumab. Ramucirumab was previously approved as a single agent and for use in combination with paclitaxel for the treatment of patients with advanced gastric or gastroesophageal junction (GEJ) adenocarcinoma after disease progression on first line therapy.
The approval of ramucirumab in combination with docetaxel in NSCLC was based on the demonstration of improved overall survival (OS) in a multicenter, double-blind, placebo-controlled study (I4T-MC-JVBA) that enrolled 1253 patients with previously treated metastatic NSCLC. Patients were randomized to receive either ramucirumab (10 mg/kg every three weeks) in combination with docetaxel (75 mg/m2 every 3 weeks) on day 1 of a 21-day cycle (n=628) or matching placebo plus docetaxel (n=625).
A statistically significant prolongation of OS was demonstrated [HR 0.86; (95% CI: 0.75, 0.98); p=0.024]; median OS was 10.5 months in the ramucirumab plus docetaxel arm and 9.1 months in the placebo plus docetaxel arm. Progression-free survival was also significantly longer for patients receiving ramucirumab plus docetaxel [HR=0.76 (95% CI: 0.68, 0.86); p&lt;0.001)]. 
Safety data was evaluated in 1245 patients who received at least one dose of study drug. The most frequently reported adverse reactions with ramucirumab plus docetaxel (incidence greater than or equal to 30%) were neutropenia, fatigue/asthenia, and stomatitis/mucosal inflammation. The most common serious adverse reactions with ramucirumab plus docetaxel were febrile neutropenia (14%), pneumonia (6%), and neutropenia (5%).
The recommended dose and schedule for ramucirumab in combination with docetaxel for NSCLC is ramucirumab 10 mg/kg intravenously and docetaxel 75 mg/m2 intravenously administered every 3 weeks.
Full prescribing information is available at: http://www.accessdata.fda.gov/drugsatfda_docs/label/2014/125477s007lbl.pdf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</si>
  <si>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ID_604</t>
  </si>
  <si>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</si>
  <si>
    <t xml:space="preserve">https://wayback.archive-it.org/7993/20170111064250/http%3A//www.fda.gov/Drugs/InformationOnDrugs/ApprovedDrugs/ucm423159.htm</t>
  </si>
  <si>
    <t xml:space="preserve">Bevacizumab solution in combination with Paclitaxel
Share
Tweet
Linkedin
Pin it
More sharing options
Linkedin
Pin it
Email
Print
On November 14, 2014, the U. S. Food and Drug Administration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The approval is based on the results of an international, randomized, two-arm trial (AURELIA) with the primary comparison of investigator-assessed progression-free survival (PFS). This trial compared bevacizumab plus chemotherapy versus chemotherapy alone. The trial enrolled 361 patients: 179 patients were assigned to receive bevacizumab plus chemotherapy, and 182 patients were assigned to receive chemotherapy alone. The chemotherapy included paclitaxel, pegylated liposomal doxorubicin, or topotecan. 
Treatment continued until disease progression, unacceptable toxicity, and/or consent withdrawal. All enrolled patients had received no more than two prior chemotherapy regimens, had ECOG performance status of 0 to 2 and had recurred within less than six months from the most recent platinum‑based therapy.
The PFS assessment demonstrated a statistically significant improvement in patients who received bevacizumab plus chemotherapy compared to those who received chemotherapy alone (HR=0.38; 95% CI: 0.30, 0.49; p&lt;0.0001, stratified log-rank test). The median PFS of patients who received bevacizumab plus chemotherapy was 6.8 months (95% CI: 5.6, 7.8) compared to 3.4 months (95% CI: 2.1, 3.8) for those receiving chemotherapy alone. There was no significant difference in overall survival (OS) (median OS: 16.6 vs. 13.3 months; HR 0.89; 95% CI: 0.69, 1.14).
The trial was stratified by chemotherapy regimen. Exploratory analyses were performed by comparing the addition of bevacizumab to each chemotherapy regimen. The addition of bevacizumab to paclitaxel provided the largest improvement, resulting in a 5.7 month improvement in median PFS (9.6 versus 3.9 months; HR 0.47; 95% CI: 0.31, 0.72), an improvement in the overall response rate of 23% (53% versus 30%), and a 9.2 month improvement in median OS (22.4 versus 13.2 months, HR 0.64; 95% CI: 0.41, 1.01). Ninety-seven per cent of patients in the paclitaxel regimen had received paclitaxel with previous chemotherapy regimens. These exploratory analyses suggest that patients who have received prior treatment with paclitaxel may benefit from bevacizumab plus weekly paclitaxel.
The most common adverse reactions (greater than or equal to 15%) in patients treated with bevacizumab plus chemotherapy were neutropenia, peripheral sensory neuropathy and hypertension. Gastrointestinal perforations were reported in 1.7% of bevacizumab-treated patients. Patients who had evidence of rectosigmoid involvement by pelvic examination or bowel involvement on CT scan or clinical symptoms of bowel obstruction were excluded from this trial. These exclusions may have contributed to the relatively low rate of perforation compared to reports from one earlier investigation of bevacizumab in platinum-resistant ovarian cancer. Fistulae occurred in 2% of bevacizumab‑treated patients and no patients receiving chemotherapy alone.
The recommended bevacizumab dose is 10 mg/kg every 2 weeks in combination with one of the following intravenous chemotherapy regimens: paclitaxel, pegylated liposomal doxorubicin, or weekly topotecan. Bevacizumab, 15 mg/kg every 3 weeks, may be combined with topotecan (every three weeks). The chemotherapy regimens follow below.
Paclitaxel 80 mg/m2 on days 1, 8, 15 and 22 every 4 weeks
Pegylated liposomal doxorubicin 40 mg/m2 on day 1 every 4 weeks or
Topotecan 4 mg/m2 on days 1, 8 and 15 every 4 weeks or 1.25 m/m2 on days 1-5 every 3 weeks
Full prescribing information, including clinical trial information, safety, dosing, drug-drug interactions and contraindications is available at: AVASTIN (PDF - 1MB)
Healthcare professionals should report all serious adverse events suspected to be associated with the use of any medicine and device to FDA’s MedWatch Reporting System by completing a form online at MedWatch Online Voluntary Reporting Form, by faxing (1-800-FDA-0178) or mailing the postage-paid address form provided online, or by telephone (1-800-FDA-1088).
 </t>
  </si>
  <si>
    <t xml:space="preserve">ID_605</t>
  </si>
  <si>
    <t xml:space="preserve">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</si>
  <si>
    <t xml:space="preserve">https://wayback.archive-it.org/7993/20170111064250/http%3A//www.fda.gov/Drugs/InformationOnDrugs/ApprovedDrugs/ucm421930.htm</t>
  </si>
  <si>
    <t xml:space="preserve">Ramucirumab in combination with paclitaxel
Share
Tweet
Linkedin
Pin it
More sharing options
Linkedin
Pin it
Email
Print
On November 5, 2014, the U. S. Food and Drug Administration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The approval of ramucirumab in combination with paclitaxel was based on the demonstration of improved overall survival (OS) in a multicenter, double-blind, placebo-controlled study (I4T-IE-JVBE) that enrolled 665 patients with previously-treated advanced or metastatic gastric or GEJ adenocarcinoma. Patients were randomized to receive either ramucirumab (8 mg/kg every two weeks) in combination with paclitaxel (80 mg/m2 once a week for 3 weeks of every 28-day cycle) (n=330) or matching placebo plus paclitaxel (n=335).
A statistically significant prolongation of OS was demonstrated [HR 0.81; (95% CI: 0.68, 0.96); p=0.017]; median OS was 9.6 and 7.4 months in the ramucirumab plus paclitaxel arm and placebo plus paclitaxel arm, respectively. Progression-free survival was also significantly longer for patients receiving ramucirumab plus paclitaxel [HR=0.64 (95% CI: 0.54, 0.75); p&lt;0.001)] 
Safety data was evaluated in 656 patients who received at least one dose of study drug. The most frequently reported adverse reactions with ramucirumab plus paclitaxel (incidence greater than or equal to 30%) were fatigue/asthenia, neutropenia, diarrhea, and epistaxis. The most common serious adverse reactions with ramucirumab plus paclitaxel were neutropenia and febrile neutropenia (3.7% and 2.4%, respectively).
The recommended dose and schedule for ramucirumab in combination with paclitaxel for advanced gastric or GEJ adenocarcinoma is ramucirumab 8 mg/kg intravenously administered every 2 weeks and paclitaxel 80 mg/m2 intravenously once a week for 3 weeks of every 28-day cycle. Treatment should continue until disease progression or unacceptable toxicity.
Full prescribing information is available at: CYRAMZA (PDF - 362KB). 
Healthcare professionals should report all serious adverse events suspected to be associated with the use of any medicine and device to FDA’s MedWatch Reporting System by completing a form online at FDA’s MedWatch Reporting System, by faxing (1-800-FDA-0178) or mailing the postage-paid address form provided online, or by telephone (1-800-FDA-1088).</t>
  </si>
  <si>
    <t xml:space="preserve">ID_607</t>
  </si>
  <si>
    <t xml:space="preserve">FDA approved bevacizumab solution for intravenous infusion (Avastin, Genentech, Inc.) for the treatment of persistent, recurrent or metastatic cervical cancer, in combination with paclitaxel and cisplatin or paclitaxel and topotecan. More Information. August 14, 2014</t>
  </si>
  <si>
    <t xml:space="preserve">https://wayback.archive-it.org/7993/20170111064250/http%3A//www.fda.gov/Drugs/InformationOnDrugs/ApprovedDrugs/ucm410128.htm</t>
  </si>
  <si>
    <t xml:space="preserve">Bevacizumab solution
Share
Tweet
Linkedin
Pin it
More sharing options
Linkedin
Pin it
Email
Print
 On August 14, 2014, the U. S. Food and Drug Administration approved bevacizumab solution for intravenous infusion (Avastin, Genentech, Inc.) for the treatment of persistent, recurrent or metastatic cervical cancer, in combination with paclitaxel and cisplatin or paclitaxel and topotecan. 
The approval is based on the results of an international, randomized, four-arm, two-by-two factorial design trial with two primary comparisons of overall survival (OS). The first comparison was between bevacizumab plus chemotherapy versus chemotherapy alone. The second comparison of OS was between the platinum doublet versus the non-platinum doublet chemotherapy irrespective of addition of bevacizumab.
The trial enrolled 452 patients: 227 patients were assigned to receive chemotherapy and bevacizumab, and 225 patients were assigned to receive chemotherapy alone. The chemotherapy could be either paclitaxel in combination with cisplatin or paclitaxel in combination with topotecan.
Treatment continued until disease progression, unacceptable toxicity, and/or consent withdrawal. All enrolled patients had GOG performance status of 0 or 1, 80% had received prior radiation and 74% had received prior chemotherapy concurrent with radiation.
The key efficacy assessment in the first primary comparison of OS demonstrated a statistically significant improvement in patients who received bevacizumab and chemotherapy compared to those who received chemotherapy alone (HR=0.74; 95% CI: 0.58, 0.94; p= 0.013, log-rank test). The median survival of patients who received bevacizumab and chemotherapy was 16.8 months (95% CI: 14.1, 19) compared to 12.9 months (95% CI: 10.9, 15) for those receiving chemotherapy alone. 
For the second primary comparison of OS, the paclitaxel plus topotecan with or without bevacizumab arms did not demonstrate an improvement in OS compared to the paclitaxel plus cisplatin with or without bevacizumab arms [HR 1.15 (95% CI: 0.91, 1.46)]. However, the HRs for addition of bevacizumab to either chemotherapy regimen were similar (HR 0.72 for paclitaxel/cisplatin and HR 0.76 for paclitaxel/topotecan). The results suggest that the regimen of paclitaxel with topotecan plus bevacizumab is an acceptable alternative for women with advanced cervical cancer who are not candidates for platinum treatment.
The most common adverse reactions (greater than or equal to 20%) in patients treated with bevacizumab and chemotherapy were fatigue, decreased appetite, hypertension, hyperglycemia, hypomagnesemia, urinary tract infection, headache and decreased weight. Gastrointestinal perforations were reported in 3.2% of bevacizumab-treated patients, all of whom had prior pelvic radiation. Gastrointestinal‑vaginal fistulae occurred in 8.2% of bevacizumab‑treated patients and 0.9% in control patients, all of whom also had prior pelvic radiation. In addition to gastrointestinal perforation and fistulae, several other grade 3 or greater adverse reactions were also more common in patients receiving chemotherapy plus bevacizumab, including venous thromboembolic events, hemorrhage, hypertension, proteinuria, and wound healing complications. 
The recommended dose of Avastin is 15 mg/kg every three weeks as an intravenous infusion administered in combination with one of the following chemotherapy regimens: paclitaxel and cisplatin, or paclitaxel and topotecan. The dosing regimens used in the clinical trial were as follows and repeated every 21 days:
Day 1: paclitaxel 135 mg/m2 IV over 24 hours, Day 2: cisplatin 50 mg/m2 IV plus bevacizumab;
 or Day 1: paclitaxel 175 mg/m2 IV over 3 hours, Day 2: cisplatin 50 mg/m2 IV plus bevacizumab;
 or Day 1: paclitaxel 175 mg/m2 IV over 3 hours plus cisplatin 50 mg/m2 IV plus bevacizumab
Day 1: paclitaxel 175 mg/m2 over 3 hours plus bevacizumab, Days 1-3: topotecan 0.75 mg/m2 over 30 minutes.
Full prescribing information, including clinical trial information, safety, dosing, drug-drug interactions and contraindications is available at:
http://www.accessdata.fda.gov/drugsatfda_docs/label/2014/125085s301lbl.pdf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</si>
  <si>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ID_608</t>
  </si>
  <si>
    <t xml:space="preserve">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</si>
  <si>
    <t xml:space="preserve">https://wayback.archive-it.org/7993/20170111064250/http%3A//www.fda.gov/Drugs/InformationOnDrugs/ApprovedDrugs/ucm406410.htm</t>
  </si>
  <si>
    <t xml:space="preserve">Idelalisib
Share
Tweet
Linkedin
Pin it
More sharing options
Linkedin
Pin it
Email
Print
On July 23, 2014, the U.S. Food and Drug Administration (FDA) approved idelalisib (Zydelig tablets, GileadSciences, Inc.) for the treatment of patients with relapsed chronic lymphocytic leukemia (CLL), in combination with rituximab, for whom rituximab alone would be considered appropriate therapy due to other co-morbidities.
FDA also granted accelerated approval to idelalisib for the treatment of patients with relapsed follicular B-cell non-Hodgkin lymphoma (FL) or relapsed small lymphocytic lymphoma (SLL) who have received at least two prior systemic therapies.
The approval for CLL was based on the results of an international, multi-center, randomized (1:1), placebo-controlled trial of 220 patients comparing idelalisib 150 mg twice daily in combination with rituximab to placebo in combination with rituximab. Rituximab was administered in 8 doses (first dose at 375 mg/m2, subsequent doses at 500 mg/m2) every 2 weeks for 4 infusions, then every 4 weeks for 4 infusions.
Progression-free survival (PFS) assessed by blinded independent review committee (IRC) was the primary efficacy endpoint. The trial was stopped early based on an interim analysis; median duration of exposure to idelalisib was 5.0 months. Median PFS was not reached (95% CI 10.7, NR) in the idelalisib plus rituximab arm and was 5.5 months (95% CI 3.8, 7.1) in the placebo plus rituximab arm [HR 0.18 (95% CI: 0.10, 0.32); p &lt; 0.0001].
Accelerated approval for FL and SLL was based on the results of a multi-center, single arm, open-label trial enrolling 123 patients with relapsed indolent non-Hodgkin lymphomas who were started on idelalisib 150 mg twice daily. The primary efficacy endpoint was overall response rate (ORR) as assessed by an IRC. In patients with FL, the ORR was 54% (95% CI: 42, 66), and the median response duration was not evaluable. In patients with SLL, the ORR was 58% (95% CI: 37, 77), and the median response duration was 11.9 months.
Idelalisib is being approved with a Boxed Warning alerting patients and healthcare professionals of the following fatal and serious adverse reactions: hepatotoxicity, severe diarrhea or colitis, pneumonitis, and intestinal perforation. The most common adverse reactions (incidence greater than or equal to 20%) are diarrhea, pyrexia, fatigue, nausea, cough, pneumonia, abdominal pain, chills, and rash. The most common lab abnormalities (incidence greater than or equal to 30%) are neutropenia, hypertriglyceridemia, hyperglycemia, ALT elevations, and AST elevations.
The recommended dose and schedule for idelalisib is 150 mg orally twice daily for patients with FL and SLL and in combination with rituximab for patients with CLL.
Full prescribing information, including clinical trial information, safety, dosing, drug-drug interactions and contraindications is available at: http://www.accessdata.fda.gov/drugsatfda_docs/label/2014/206545lbl.pdf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</si>
  <si>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ID_611</t>
  </si>
  <si>
    <t xml:space="preserve">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</si>
  <si>
    <t xml:space="preserve">https://wayback.archive-it.org/7993/20170111064250/http%3A//www.fda.gov/Drugs/InformationOnDrugs/ApprovedDrugs/ucm395156.htm</t>
  </si>
  <si>
    <t xml:space="preserve">Mercaptopurine
Share
Tweet
Linkedin
Pin it
More sharing options
Linkedin
Pin it
Email
Print
On April 28, 2014, the U. S. Food and Drug Administration approved an oral suspension of mercaptopurine (Purixan, NOVA Laboratories Limited). Mercaptopurine is a 20 mg/ml oral suspension. Purixan is indicated for the treatment of patients with acute lymphoblastic leukemia (ALL) as part of a combination regimen. 
Mercaptopurine is an integral component of ALL therapy. Successive clinical trials have demonstrated that mercaptopurine contributes to successful maintenance therapy and improved survival of patients with ALL. Mercaptopurine was originally approved as a 50 mg tablet in 1953, and since this approval has only been commercially available as a 50 mg tablet.
Because of the age and weight range of children with ALL, a 50 mg tablet is not ideal. Body surface area dosing and dose adjustments are not easily accomplished with the 50 mg tablet. Tablets are not an ideal dosage form of medication for children less than 6 years. Ad hoc local formulations compounded in pharmacies are commonly used. Alternatively 50 mg tablets are split to provide children with the desired dose.
Compared to tablets, a suspension offers the advantage of more accurately delivering the desired dose to children with a wide range of weights using a consistent administration schedule. A suspension will allow more flexibility in adjusting the dose. A commercially produced suspension is more likely to provide a more consistent dose of 6-mercaptopurine than ad hoc compounded formulations.
The approval was based on one clinical pharmacology study to assess the bioequivalence of mercaptopurine from Purinethol tablet (US listed drug) with that of the mercaptopurine oral suspension in a healthy adult population.
The starting dose of mercaptopurine in multi-agent combination chemotherapy maintenance regimens is 1.5 to 2.5mg/kg (50 to 75 mg/m2) as a single daily dose. After initiating mercaptopurine, continuation of appropriate dosing requires periodic monitoring of absolute neutrophil count (ANC) and platelet count to assure sufficient drug exposure (that is to maintain ANC at a desirable level) and to adjust for excessive hematological toxicity. 
Full prescribing information is available at:
http://www.accessdata.fda.gov/drugsatfda_docs/label/2014/205919s000lbl.pdf
Mercaptopurine is distributed by Rare Disease Therapeutics, Inc., Nashville, TN.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</si>
  <si>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ID_614</t>
  </si>
  <si>
    <t xml:space="preserve">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</si>
  <si>
    <t xml:space="preserve">https://wayback.archive-it.org/7993/20170111064250/http%3A//www.fda.gov/Drugs/InformationOnDrugs/ApprovedDrugs/ucm393823.htm</t>
  </si>
  <si>
    <t xml:space="preserve">FDA Approves Ofatumumab
Share
Tweet
Linkedin
Pin it
More sharing options
Linkedin
Pin it
Email
Print
On April 17, 2014, the U. S. Food and Drug Administration approved ofatumumab (Arzerra Injection, for intravenous infusion; GlaxoSmithKline) in combination with chlorambucil, for the treatment of previously untreated patients with chronic lymphocytic leukemia (CLL), for whom fludarabine-based therapy is considered inappropriate. 
The approval was based on the results of a multi-center, randomized, open-label trial comparing ofatumumab in combination with chlorambucil to single agent chlorambucil. The trial enrolled 447 patients for whom fludarabine-based therapy was considered to be inappropriate by the investigator for reasons that included advanced age or presence of co-morbidities. In the overall trial population the median age was 69 years (range: 35 to 92 years). Seventy-two percent of patients had two or more co-morbidities and 48% of patients had a creatinine clearance of &lt;70 mL/min. Patients received ofatumumab as an intravenous infusion according to the following schedule: 300 mg administered on cycle 1 day 1, 1000 mg administered on cycle 1 day 8 and 1000 mg administered on day 1 of all subsequent 28 day cycles. In both arms, chlorambucil was given at a dose of 10 mg/m2 orally on days 1 to 7 every 28 days. Prior to each infusion of ofatumumab, patients received pre-medication with acetaminophen, an antihistamine, and a glucocorticoid. 
The primary endpoint of the trial was progression free survival (PFS) as assessed by a blinded Independent Review Committee (IRC) using the 2008 International Workshop on Chronic Lymphocytic Leukemia (IWCLL) update of the National Cancer Institute Working Group (NCI-WG) guidelines. Median PFS was 22.4 months (95% CI: 19.0, 25.2 months) for patients receiving Arzerra in combination with chlorambucil compared to 13.1 months (95% CI: 10.6, 13.8 months) for patients receiving single-agent chlorambucil [hazard ratio 0.57 (95% CI: 0.45, 0.72), stratified log-rank p-value &lt;0.001].
The most common adverse reactions (greater than or equal to 5%) with ofatumumab in combination with chlorambucil (greater than or equal to 2% more than in the control arm) were infusion reactions, neutropenia, asthenia, headache, leukopenia, herpes simplex, lower respiratory tract infection, arthralgia and upper abdominal pain. Overall, 67% of patients who received ofatumumab experienced one or more symptoms of infusion reaction. Ten percent of patients experienced a grade 3 or greater infusion reaction. 
The results of this randomized trial were adequate to fulfill the postmarketing requirement for GlaxoSmithKline to verify the clinical benefit of ofatumumab and, therefore, the approval of ofatumumab was converted from accelerated approval to regular approval.
The recommended dose and schedule for the approved regimen for ofatumumab in previously untreated CLL is:
 300 mg on Day 1 followed 1 week later by 1,000 mg on Day 8 (Cycle 1) followed by
 1,000 mg on Day 1 of subsequent 28 day cycles for a minimum of 3 cycles until best response or a maximum of 12 cycles. 
Full prescribing information is available at: http://www.accessdata.fda.gov/drugsatfda_docs/label/2014/125326s060lbl.pdf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</si>
  <si>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ID_616</t>
  </si>
  <si>
    <t xml:space="preserve">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</si>
  <si>
    <t xml:space="preserve">https://wayback.archive-it.org/7993/20170111064250/http%3A//www.fda.gov/Drugs/InformationOnDrugs/ApprovedDrugs/ucm381451.htm</t>
  </si>
  <si>
    <t xml:space="preserve">Trametinib and Dabrafenib
Share
Tweet
Linkedin
Pin it
More sharing options
Linkedin
Pin it
Email
Print
The U. S. Food and Drug Administration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Trametinib was previously approved in 2013 as a single agent for treatment of BRAF V600E or V600K mutation-positive unresectable or metastatic melanoma. Dabrafenib was also approved in 2013 as a single agent for treatment of BRAF V600E mutation-positive unresectable or metastatic melanoma. Trametinib and dabrafenib target two different kinases in the RAS/RAF/MEK/ERK pathway.
Approval of the combination therapy was based on the demonstration of durable objective responses in a multicenter, open-label, randomized (1:1:1), active-controlled, dose-ranging trial enrolling 162 patients with histologically confirmed Stage IIIC or IV melanoma determined to be BRAF V600E or V600K. No more than one prior chemotherapy regimen and/or interleukin-2 were permitted. Patients with prior exposure to BRAF inhibitors or MEK inhibitors were ineligible.
Patients were randomized to receive trametinib 2 mg orally once daily in combination with dabrafenib 150 mg orally twice daily (n=54), trametinib 1 mg orally once daily in combination with dabrafenib 150 mg orally twice daily (n=54), or single-agent dabrafenib 150 mg orally twice daily (n=54). Of the 162 patients enrolled, 57% were male, the median age was 53 years, all had baseline ECOG PS of 0 or 1, 67% had M1c disease, and 81% had not received prior anticancer therapy for unresectable or metastatic disease. All patients had tumor tissue with mutations in BRAF V600E (85%) or V600K (15%) on local or centralized testing.
The investigator-assessed objective response rates and response duration were 76% (95% CI: 62, 87) and 10.5 months (95% CI: 7, 15), respectively, in the trametinib 2 mg plus dabrafenib combination arm and 54% (95% CI: 40, 67) and 5.6 months (95% CI: 5, 7), respectively, in the single-agent dabrafenib arm. Objective response rates were similar in subgroups defined by BRAF V600 mutation subtype, V600E and V600K. Analyses of objective response rates based on blinded independent central review were consistent with the investigator results.
The incidence of cutaneous squamous cell carcinoma (including squamous cell carcinomas of the skin and keratoacanthomas), the trial’s primary safety endpoint, was 7% (95% CI: 2, 18) in the trametinib 2 mg plus dabrafenib combination arm compared to 19% (95% CI: 9, 32) in the single-agent dabrafenib arm.
The most frequent (greater than or equal to 20% incidence) adverse reactions from trametinib in combination with dabrafenib were pyrexia, chills, fatigue, rash, nausea, vomiting, diarrhea, abdominal pain, peripheral edema, cough, headache, arthralgia, night sweats, decreased appetite, constipation, and myalgia. The most frequent grades 3 and 4 adverse events (greater than or equal to 5% incidence) were acute renal failure, pyrexia, hemorrhage, and back pain.
Serious adverse drug reactions occurring in patients taking trametinib in combination with dabrafenib were hemorrhage, venous thromboembolism, new primary malignancy, serious febrile reactions, cardiomyopathy, serious skin toxicity, and eye disorders such as retinal pigmented epithelial detachments.
Granting of this accelerated approval is contingent upon the successful completion of the ongoing MEK115306 trial to verify the clinical benefit of trametinib for use in combination with dabrafenib. MEK115306 is an international, multicenter, randomized (1:1), double-blind, placebo-controlled trial comparing the combination of dabrafenib and trametinib to dabrafenib and placebo as first-line therapy in approximately 340 patients with unresectable (Stage IIIC) or metastatic (Stage IV) BRAF V600E or V600K mutation-positive cutaneous melanoma. The primary endpoint is progression-free survival. Overall survival is a key secondary endpoint.
The recommended dose and schedule for trametinib and dabrafenib when used in combination is trametinib 2 mg orally once daily with dabrafenib 150 mg orally twice daily continued until disease progression or unacceptable toxicity occurs. Trametinib and dabrafenib should be taken at least one hour before or two hours after a meal. The once daily dose of trametinib can be taken at the same time as either dose of dabrafenib.
Full prescribing information is available at: 
http://www.accessdata.fda.gov/drugsatfda_docs/label/2014/204114s001lbl.pdf
http://www.accessdata.fda.gov/drugsatfda_docs/label/2014/202806s002lbl.pdf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</si>
  <si>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ID_620</t>
  </si>
  <si>
    <t xml:space="preserve">FDA approved obinutuzumab (GAZYVA injection, for intravenous use, Genentech, Inc.; previously known as GA101) for use in combination with chlorambucil for the treatment of patients with previously untreated chronic lymphocytic leukemia (CLL). More Information. November 1, 2013</t>
  </si>
  <si>
    <t xml:space="preserve">https://wayback.archive-it.org/7993/20170111064250/http%3A//www.fda.gov/Drugs/InformationOnDrugs/ApprovedDrugs/ucm373263.htm</t>
  </si>
  <si>
    <t xml:space="preserve">Gazyva (obinutuzumab)
Share
Tweet
Linkedin
Pin it
More sharing options
Linkedin
Pin it
Email
Print
On November 1, 2013, the U.S. Food and Drug Administration approved obinutuzumab (GAZYVA™ injection, for intravenous use, Genentech, Inc.; previously known as GA101) for use in combination with chlorambucil for the treatment of patients with previously untreated chronic lymphocytic leukemia (CLL).
The approval was based on demonstration of an improvement in progression-free survival (PFS) in a randomized, open-label, multicenter trial comparing obinutuzumab in combination with chlorambucil (GClb) to chlorambucil (Clb) alone in patients with previously untreated CD20-positive CLL. The study also included a rituximab in combination with chlorambucil (RClb) arm. The results of RClb compared to GClb will be available at a later stage.
Patients randomized to the combination arm received 1000 mg doses of obinutuzumab intravenously on day 1 (later divided into 100 mg on day 1, followed by 900 mg on day 2), day 8 and day 15 of the first cycle. Chlorambucil, 0.5 mg/kg, was administered on days 1 and 15. During treatment cycles 2-6, patients received obinutuzumab, 1000 mg intravenously only on day 1 in combination with chlorambucil, 0.5 mg/kg, on days 1 and 15. Patients received pre-medication with a glucocorticoid, acetaminophen and anti-histamine prior to initial obinutuzumab infusions, and subsequently as needed. Patients assigned to single-agent chlorambucil received 0.5 mg/kg on days 1 and 15 of all treatment cycles (cycles 1 to 6). Cycles were repeated every 28 days.
A total of 356 patients were randomized (2:1) to GClb (n=238) and Clb (n=118). The median age was 73 years (range 39 -88). The independent review committee assessed median PFS was 23.0 and 11.1 months in the GClb and Clb arms, respectively [HR 0.16 (95% CI: 0.11, 0.24), log-rank p-value &lt;0.0001]. 
The most common adverse reactions (greater than or equal to 10%) with obinutuzumab in combination with chlorambucil (with a higher frequency than in the control arm) were infusion-related reactions, neutropenia, thrombocytopenia, anemia, pyrexia, cough, and musculoskeletal disorder. The most common grade 3-4 adverse reactions (greater than or equal to 10%) were infusion-related reactions, neutropenia, and thrombocytopenia.
Infusion reactions occurred in 69% of patients receiving obinutuzumab; 21% experienced Grade 3 or 4 reactions. Symptoms (greater than 10%) included dyspnea, hypotension, nausea, vomiting, chills, flushing, and pyrexia. 
Obinutuzumab is approved with a BOXED WARNING regarding Hepatitis B virus reactivation and Progressive Multifocal Leukoencephalopathy. Patients should be advised of these risks and assessed for Hepatitis B virus and reactivation risk. Infusion reactions are included in the WARNING and PRECAUTIONS section of the label.
The recommended dose and schedule for the approved regimen is:
Obinutuzumab:
Cycle 1: 100 mg intravenously on day 1, 900 mg on day 2, and 1000 mg on days 8 and 15. 
Cycles 2-6: 1000 mg administered intravenously every 28 days
Chlorambucil:
0.5 mg/kg orally on days 1 and 15 of each cycle
Full prescribing information is available at: 
http://www.accessdata.fda.gov/drugsatfda_docs/label/2013/125486s000lbl.pdf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</si>
  <si>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ID_623</t>
  </si>
  <si>
    <t xml:space="preserve">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</si>
  <si>
    <t xml:space="preserve">https://wayback.archive-it.org/7993/20170111064250/http%3A//www.fda.gov/Drugs/InformationOnDrugs/ApprovedDrugs/ucm370449.htm</t>
  </si>
  <si>
    <t xml:space="preserve">Pertuzumab Injection
Share
Tweet
Linkedin
Pin it
More sharing options
Linkedin
Pin it
Email
Print
On September 30, 2013, the U. S. Food and Drug Administration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The approval of PERJETA for neoadjuvant treatment of breast cancer is based on a randomized, multicenter, open-label trial in patients with HER2-positive, operable, locally advanced, or inflammatory breast cancer (T2-4d). Breast tumor samples were required to show HER2 overexpression (IHC 3+ or FISH amplification ratio ≥ 2.0 determined by a central laboratory). The trial enrolled 417 patients who were randomly allocated to receive 1 of 4 neoadjuvant regimens prior to surgery as follows: trastuzumab plus docetaxel; pertuzumab plus trastuzumab and docetaxel; pertuzumab plus trastuzumab; or pertuzumab plus docetaxel.
Pertuzumab, trastuzumab, and docetaxel were administered preoperatively by intravenous infusion (IV) every 3 weeks for a total of 4 cycles. Following surgery all patients received 3 cycles of fluorouracil, epirubicin, and cyclophosphamide (FEC) IV every 3 weeks and trastuzumab was administered IV every 3 weeks to complete 1 year of therapy. The trial’s primary endpoint was pathological complete response (pCR) rate defined as the absence of invasive cancer in the breast (ypT0/is). The FDA-preferred definition of pCR is the absence of invasive cancer in the breast and lymph nodes (ypT0/is ypN0).
Demographics were well balanced. Seven percent of patients had inflammatory breast cancer, 32% had locally advanced cancer and 70% had clinically node-positive breast cancer. Forty-seven percent of the patients had hormone receptor-positive disease.
The pCR (ypT0/is ypN0) rates were 39.3% and 21.5% in the pertuzumab plus trastuzumab and docetaxel and the trastuzumab plus docetaxel arms, respectively. This difference of 17.8% was statistically significant (adjusted p-value = 0.0063, Cochran-Mantel-Haenszel test). The pCR rates and magnitude of improvement with the addition of pertuzumab were lower in the subgroup of patients with hormone receptor-positive tumors compared to patients with hormone receptor-negative tumors.
The most common adverse reactions (&gt; 30%) with pertuzumab in combination with trastuzumab and docetaxel were alopecia, diarrhea, nausea and neutropenia. The most common (&gt; 2%) NCI – CTCAE (version 3) grade 3 – 4 adverse reactions were neutropenia, febrile neutropenia, leukopenia and diarrhea. Other significant adverse reactions reported with pertuzumab include left ventricular dysfunction, infusion-related reactions, hypersensitivity reactions, and anaphylaxis. 
The approval is supported by an additional randomized phase 2 study conducted in 225 patients with HER2-positive, locally advanced, operable, or inflammatory (T2-4d) breast cancer designed primarily to assess cardiac safety when FEC or carboplatin is incorporated into the preoperative regimen.
Pertuzumab is approved with a BOXED WARNING regarding cardiomyopathy and embryo-fetal toxicity. The cardiomyopathy warning is based on an increased rate of LVEF decline observed in the neoadjuvant trials. Cardiac function should be evaluated prior to and during treatment with pertuzumab. The embryo-fetal toxicity warning is based on observations of oligohydramnios, delayed renal development and embryo-fetal death in animal studies. Patients should be advised of these risks and need for effective contraception prior to starting pertuzumab. 
The recommended dose and schedule of pertuzumab is an initial dose of 840 mg administered IV as a 60‑minute infusion followed every 3 weeks by 420 mg administered IV as a 30- to 60-minute infusion. Pertuzumab should be administered every 3 weeks for 3 to 6 cycles as part of one of the following treatment regimens for early breast cancer:
Four preoperative cycles of pertuzumab in combination with trastuzumab and docetaxel followed by 3 postoperative cycles of FEC;
Three preoperative cycles of FEC alone followed by 3 preoperative cycles of pertuzumab in combination with docetaxel and trastuzumab; or
Six preoperative cycles of pertuzumab in combination with docetaxel, carboplatin and trastuzumab (TCH).
Following surgery, patients should continue to receive trastuzumab to complete 1 year of treatment. There is insufficient evidence to recommend continued use of pertuzumab for greater than 6 cycles for early breast cancer. There is insufficient evidence to recommend concomitant administration of an anthracycline with pertuzumab, and there are no safety data to support sequential use of doxorubicin with pertuzumab.
Pertuzumab, originally approved in June 2012, is a recombinant humanized monoclonal antibody that targets the extracellular dimerization domain (Subdomain II) of HER2, and thereby blocks ligand-dependent heterodimerization of HER2 with other HER family members, including EGFR, HER3 and HER4. 
This accelerated approval is based on demonstration of an improvement in pCR rate. No data are available demonstrating improvement in event-free survival or overall survival. Continued approval for this indication is contingent upon demonstration of improvement in disease-free survival in the confirmatory trial.
Full prescribing information is available at: http://www.accessdata.fda.gov/drugsatfda_docs/label/2013/125409s051lbl.pdf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</si>
  <si>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ID_624</t>
  </si>
  <si>
    <t xml:space="preserve">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</si>
  <si>
    <t xml:space="preserve">https://wayback.archive-it.org/7993/20170111064250/http%3A//www.fda.gov/Drugs/InformationOnDrugs/ApprovedDrugs/ucm367613.htm</t>
  </si>
  <si>
    <t xml:space="preserve">Paclitaxel
Share
Tweet
Linkedin
Pin it
More sharing options
Linkedin
Pin it
Email
Print
On September 6, 2013, the U. S. Food and Drug Administration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The approval of Abraxane for this indication was based on the demonstration of improved overall survival (OS) in a multi-center, international, open-label, randomized trial enrolling 861 patients with metastatic pancreatic cancer. Patients were randomized to receive either the combination of Abraxane plus gemcitabine (n=431) or gemcitabine alone (n=430). Randomization was stratified by geographic region (Australia, Western Europe, Eastern Europe, or North America), performance status, and presence of liver metastasis. The major efficacy outcome measure was OS and additional outcome measures were progression-free survival (PFS) and overall response rate (ORR), both assessed by independent, central, blinded radiological review using RECIST (version 1.0).
The median age of the patients was 63 years (range 27-88 years) with 42% age 65 years or older, 58% were men, and the Karnofsky performance was 90 or 100 in 60%. Nearly half (46%) of the patients had three or more sites of metastatic disease and 84% had liver metastases. The primary lesion was located in the pancreatic head in 43%, the body in 31%, or tail in 25% of patients.
The trial demonstrated a statistically significant prolongation of OS for patients randomized to receive the combination of Abraxane plus gemcitabine [HR 0.72 (95% CI: 0.62, 0.84); p &lt; 0.0001, stratified log-rank test]. The median OS was 8.5 months in the Abraxane plus gemcitabine arm and 6.7 months in the single agent gemcitabine arm. A significant improvement in PFS was also observed with median PFS of 5.5 months in the Abraxane plus gemcitabine arm and 3.7 months in the gemcitabine arm [HR 0 .69 (95% CI: 0.58, 0.82) p &lt; 0.0001, stratified log-rank test]. Objective response rates were 23% and 7% in the Abraxane plus gemcitabine and single agent gemcitabine arms, respectively (p&lt;0.0001, Chi-square test). 
The most frequent (≥20% incidence) adverse reactions reported at a ≥5% higher incidence in patients who received the combination of Abraxane plus gemcitabine as compared to gemcitabine alone included neutropenia, fatigue, peripheral neuropathy, nausea, alopecia, peripheral edema, diarrhea, pyrexia, vomiting, decreased appetite, rash, and dehydration.
The most frequent serious adverse reactions in patients who received the combination were pyrexia, dehydration, pneumonia, and vomiting. Sepsis was reported in 5% and pneumonitis was reported in 4% of patients who received Abraxane plus gemcitabine. 
The recommended dose and schedule for Abraxane is 125 mg/m2 administered as an intravenous infusion over 30-40 minutes on days 1, 8 and 15 of each 28-day cycle until disease progression or if no longer tolerated by the patient. Gemcitabine is administered immediately after Abraxane on days 1, 8 and 15 of each 28-day cycle.
Full prescribing information is available at: http://www.accessdata.fda.gov/drugsatfda_docs/label/2013/021660s037lbl.pdf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</si>
  <si>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ID_635</t>
  </si>
  <si>
    <t xml:space="preserve">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</si>
  <si>
    <t xml:space="preserve">https://wayback.archive-it.org/7993/20170111064250/http%3A//www.fda.gov/Drugs/InformationOnDrugs/ApprovedDrugs/ucm336763.htm</t>
  </si>
  <si>
    <t xml:space="preserve">Bevacizumab
Share
Tweet
Linkedin
Pin it
More sharing options
Linkedin
Pin it
Email
Print
On January 23, 2013, the U. S. Food and Drug Administration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Bevacizumab is a recombinant humanized monoclonal IgG1 antibody that binds to human vascular endothelial growth factor (VEGF), preventing the interaction of VEGF to its receptors on the surface of endothelial cells. 
This approval is based on the results of a randomized, open-label, multinational trial enrolling patients with mCRC that progressed during or within 3 months of discontinuation of bevacizumab-based combination chemotherapy with fluoropyrimidine-oxaliplatin or fluoropyrimidine-irinotecan in the first line.
The clinical trial accrued 820 patients who were randomly allocated (1:1) to receive “cross-over” chemotherapy alone (N=411) or “cross-over” chemotherapy in combination with bevacizumab (N=409). Patients received either irinotecan-based therapy or oxaliplatin-based chemotherapy depending on prior treatment (i.e., irinotecan-based regimen for patients who received prior treatment with oxaliplatin and oxaliplatin-based therapy for patients who received prior treatment with irinotecan). The treatment cycles on both arms were repeated every 2 or 3 weeks, depending on the chemotherapy regimen used, and bevacizumab was administered at a dose of 5 mg/kg by intravenous infusion every two weeks or 7.5 mg/kg by intravenous infusion every three weeks. Bevacizumab was continued until disease progression or unacceptable toxicity. 
The primary efficacy endpoint was overall survival (OS). Treatment assignment was stratified by first-line treatment (irinotecan-based vs. oxaliplatin-based), first-line progression-free survival (PFS) (more than 9 months vs. 9 months or less), time from last bevacizumab dose (more than 42 days vs. 42 days or less), and ECOG performance status (0-1 vs. 2).
The median age of the study population was 63 years, 64% were men, and 96% had an ECOG performance status of 0 or 1. A statistically significant OS improvement was observed in patients receiving cross-over chemotherapy plus bevacizumab compared to those receiving cross-over chemotherapy alone [HR 0.81 (95% CI: 0.69, 0.94), p=0.0062, unstratified log-rank test]. Median OS was 11.2 and 9.8 months for patients on the cross-over chemotherapy plus bevacizumab and cross-over chemotherapy arms, respectively. PFS was also significantly improved in patients receiving crossover chemotherapy plus bevacizumab compared to those receiving chemotherapy alone [HR 0.68 (95% CI: 0.59, 0.78), p&lt;0.0001]. The median PFS times were 5.7 and 4.0 months, respectively. 
No new safety signals were observed in this trial. The safety data was consistent with the known safety profile established in previously approved indications.
The recommended dose and schedule in patients receiving bevacizumab in combination with fluoropyrimidine-irinotecan or fluoropyrimidine-oxaliplatin based chemotherapy after progression on a first-line bevacizumab containing regimen is 5 mg/kg administered every 2 weeks or 7.5 mg/kg administered every 3 weeks as a 60-minute IV infusion. 
Full prescribing information is available at: http://www.accessdata.fda.gov/drugsatfda_docs/label/2013/125085s263lbl.pdf
Healthcare professionals should report all serious adverse events suspected to be associated with the use of any medicine and device to FDA’s MedWatch Reporting System by completing a form online athttp://www.fda.gov/medwatch/report.htm, by faxing (1-800-FDA-0178) or mailing the postage-paid address form provided online, or by telephone (1-800-FDA-1088).
 </t>
  </si>
  <si>
    <t xml:space="preserve">ID_637</t>
  </si>
  <si>
    <t xml:space="preserve">FDA approved an expanded indication for abiraterone acetate (ZytigaTablets, Janssen Biotech, Inc.) in combination with prednisone for the treatment of patients with metastatic castration-resistant prostate cancer. More Information22. December 10, 2012</t>
  </si>
  <si>
    <t xml:space="preserve">https://wayback.archive-it.org/7993/20170111231726/http://www.fda.gov/Drugs/InformationOnDrugs/ApprovedDrugs/ucm331628.htm</t>
  </si>
  <si>
    <t xml:space="preserve">Expanded Approval forAbiraterone Acetate
Share
Tweet
Linkedin
Pin it
More sharing options
Linkedin
Pin it
Email
Print
On December 10, 2012, the U. S. Food and Drug Administration approved an expanded indication for abiraterone acetate (ZytigaTablets, Janssen Biotech, Inc.) in combination with prednisone for the treatment of patients with metastatic castration-resistant prostate cancer.
The approval was based on a trial randomizing patients with metastatic castration-resistant prostate cancer who had not received cytotoxic chemotherapy to either abiraterone acetate plus prednisone (N = 546) or placebo plus prednisone (N = 542). Entry was restricted to patients with metastases to the bone, soft tissue, or lymph nodes. Patients with moderate to severe cancer pain or opiate use for cancer pain were excluded. All patients had a prior orchiectomy or continued to receive a gonadotropin releasing hormone analog.
The co-primary endpoints were radiographic progression-free survival (rPFS) and overall survival (OS). Treatment with abiraterone acetate improved rPFS. The median rPFS was 8.3 months in the placebo arm and had not yet been reached for those receiving abiraterone acetate [HR 0.43 (95% CI: 0.35, 0.52), p &lt; 0.0001]. At the pre-specified third interim analysis, median OS were 35.3 and 30.1 months in the abiraterone acetate and placebo arms, respectively [HR 0.79 (95% CI: 0.66, 0.96)]. These results did not cross the O’Brien-Fleming boundary for statistical significance. The primary endpoints were supported by statistically significant improvements in time-to-opiate use and time-to-cytotoxic chemotherapy.
Safety data were evaluated in 1333 patients with metastatic castration-resistant prostate cancer who received abiraterone acetate plus prednisone and in 934 patients who received placebo plus prednisone in this and the other pivotal trial. The most common (≥10%) adverse reactions included fatigue, joint swelling or discomfort, edema, hot flush, diarrhea, vomiting, cough, hypertension, dyspnea, urinary tract infection, and contusion. The most common laboratory abnormalities (&gt; 20%) included anemia, elevated alkaline phosphatase, hypertriglyceridemia, lymphopenia, hypercholesterolemia, hyperglycemia, elevated AST, hypophosphatemia, elevated ALT, and hypokalemia.
Grade 3-4 adverse reactions occurred in 55% of patients receiving abiraterone acetate and in 50% receiving placebo. Grade 3-4 increases in ALT or AST occurred in 4% of patients in the abiraterone acetate arm. Grade 3-4 cardiac failure occurred more commonly in patients treated with abiraterone acetate compared to those receiving placebo (1.6% vs. 0.2%). Adrenal insufficiency occurred in 0.5% of patients taking abiraterone acetate and in 0.2% of those receiving placebo. Patients should be monitored for adrenocortical insufficiency and mineralocorticoid excess.
The recommended dose and schedule for abiraterone acetate is 1000 mg administered orally once daily in combination with prednisone 5 mg administered orally twice daily. Abiraterone acetate must be taken on an empty stomach. No food should be consumed for at least 2 hours before and for at least 1 hour after abiraterone acetate. Abiraterone Cmax and AUC0-∞ (exposure) were increased up to 17- and 10-fold higher, respectively, when a single dose of abiraterone acetate was administered with a meal compared to a fasted state.
Full prescribing information is available at: http://www.accessdata.fda.gov/drugsatfda_docs/label/2012/202379s005lbl.pdf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</si>
  <si>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ID_641</t>
  </si>
  <si>
    <t xml:space="preserve">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</si>
  <si>
    <t xml:space="preserve">https://wayback.archive-it.org/7993/20170111231726/http://www.fda.gov/Drugs/InformationOnDrugs/ApprovedDrugs/ucm324239.htm</t>
  </si>
  <si>
    <t xml:space="preserve">Pemetrexed
Share
Tweet
Linkedin
Pin it
More sharing options
Linkedin
Pin it
Email
Print
On October 17, 2012, the U. S. Food and Drug Administration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Pemetrexed is currently approved, in combination with cisplatin therapy, for the initial treatment of patients with locally advanced or metastatic non-squamous, non-small cell lung cancer and for the maintenance treatment of patients with locally advanced or metastatic nonsquamous non-small cell lung cancer whose disease has not progressed after four cycles of platinum-based first-line chemotherapy. Pemetrexed is not indicated for the treatment of patients with squamous cell lung cancer.
The additional trial now described in product labeling is a multi-center, randomized (2:1), double-blind, placebo-controlled trial evaluating pemetrexed maintenance in patients with Stage IIIB/IV non-squamous non-small cell lung cancer whose initial treatment was four cycles of pemetrexed plus cisplatin.
Patients with ECOG performance status 0 or 1 who completed 4 cycles of pemetrexed plus cisplatin with a best response of either stable disease, partial response or complete response were randomized to receive either pemetrexed 500 mg/ m2 intravenously on day 1 of each 21‑day cycle or matching placebo until disease progression. Patients in both study arms also received folic acid and vitamin B12 supplementation for the duration of maintenance treatment and dexamethasone prior to, on the day of, and the day following pemetrexed administration. The primary efficacy outcome was investigator-assessed progression-free survival (PFS).
A total of 539 patients were randomized; 359 patients to pemetrexed and 180 to placebo. Fifty-eight per cent of patients were male, 78% were smokers/former smokers, 87% had adenocarcinoma histology, 68% had ECOG performance status of 1, and 91% had stage IV disease.
A significant improvement in investigator-assessed PFS was observed in patients randomized to receive pemetrexed maintenance compared to those receiving placebo [HR 0.62 (95% CI: 0.49 to 0.79); p &lt; 0.0001]. The median PFS was 4.1 and 2.8 months for patients receiving pemetrexed and placebo, respectively. A significant improvement in overall survival, a key secondary endpoint, was also observed for patients randomized to pemetrexed maintenance compared to those on the placebo arm [HR 0.78 (95% CI: 0.64 to 0.96) p=0.02)]. The median survival times were 13.9 and 11.0 months for patients receiving pemetrexed and placebo, respectively.
Patients received a median of 4 cycles of maintenance in both arms. Treatment was reduced or delayed in approximately 25% of patients in the pemetrexed arm due to toxicity. The most common (&gt;5%) adverse reactions in patients receiving pemetrexed maintenance in this trial were neutropenia, anemia, fatigue, nausea, vomiting, stomatitis and edema. The most common severe adverse reactions were anemia and neutropenia; 13% of patients received red blood cell transfusions, 12% erythropoiesis-stimulating agents, 6% granulocyte colony-stimulating factors, and 1.5% platelet transfusions.
Full prescribing information is available at:http://www.accessdata.fda.gov/drugsatfda_docs/label/2012/021462s039lbl.pdf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</si>
  <si>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ID_642</t>
  </si>
  <si>
    <t xml:space="preserve">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</si>
  <si>
    <t xml:space="preserve">https://wayback.archive-it.org/7993/20170111231726/http://www.fda.gov/Drugs/InformationOnDrugs/ApprovedDrugs/ucm323668.htm</t>
  </si>
  <si>
    <t xml:space="preserve">Paclitaxel (Abraxane)
Share
Tweet
Linkedin
Pin it
More sharing options
Linkedin
Pin it
Email
Print
On October 11, 2012, the U. S. Food and Drug Administration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This approval for the first-line treatment of locally advanced or metastatic NSCLC was granted under the provisions of 505(b)(2) of the Food, Drug, and Cosmetic Act. FDA relied on the prior approval of Taxol (paclitaxel) Injection for this indication supported by an additional trial establishing that ABRAXANE was as at least as active (as determined by overall response rate) as paclitaxel when both agents are used in combination with carboplatin.
This additional trial (Protocol CA031) was a randomized, open-label, multi-national trial that enrolled 1052 patients with locally advanced or metastatic NSCLC. Patients were randomized to receive ABRAXANE at a dose of 100 mg/m2 as a weekly infusion (n=521) or paclitaxel injection at a dose of 200 mg/m2 as an intravenous infusion every three weeks (n=531). Patients in both treatment arms also received carboplatin at the same dose and schedule (AUC 6 mg•min/mL) every 3 weeks. All patients receiving paclitaxel were required to be premedicated with corticosteroids and an antihistamine, while those in the ABRAXANE arm received premedication at the investigator’s discretion.
The primary efficacy objective was to demonstrate that patients receiving ABRAXANE plus carboplatin had a significantly higher overall response rate (ORR) with no evidence of a significant impairment in overall survival compared to those receiving paclitaxel plus carboplatin. The primary endpoint of ORR, defined as percentage of patients who achieved a durable complete or partial response, was determined by a radiological review committee masked to treatment assignment. 
The CA031 trial met its primary end-point demonstrating a statistically significantly higher overall response rate for patients in the ABRAXANE -containing arm of 33% (95% CI: 29, 37) compared to 25% (95% CI: 21, 28) for patients in the paclitaxel-containing arm (p = 0.005, chi square test). The absolute increase was in ORR was 8% (95% CI: 2, 8). The durability of responses was similar for responding patients in the two treatment groups, with median response durations of 6.9 and 6.0 months for the ABRAXANE and paclitaxel arms, respectively. There was no statistically significant difference in overall survival between the two treatment arms.
Safety was evaluated in 1038 patients who received at least one dose of planned treatment. The most common (≥ 10% incidence) grade 1-4 adverse drug reactions reported in the ABRAXANE -containing arm included anemia, neutropenia, thrombocytopenia, alopecia, peripheral neuropathy, nausea, fatigue, decreased appetite, asthenia, constipation, diarrhea, arthralgia, vomiting, dyspnea, peripheral edema, rash, and myalgia. The most common (≥ 5%) grade 3-4 adverse reactions were neutropenia, anemia, and thrombocytopenia.
Serious adverse reactions occurred in 18% of patients in both treatment arms. The most common serious adverse reactions in the ABRAXANE -containing arm were anemia (4%) and thrombocytopenia (3%). 
The recommended dose and schedule for initial treatment of patients with locally advanced or metastatic NSCLC is ABRAXANE,100 mg/m2 administered as an intravenous infusion over 30 minutes, on days 1, 8, and 15 of each 21-day cycle. The recommended dose of carboplatin is AUC = 6 mg•min/mL on day 1 of each 21-day cycle following the completion of ABRAXANE infusion. 
Full prescribing information is available at: http://www.accessdata.fda.gov/drugsatfda_docs/label/2012/021660s031lbl.pdf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</si>
  <si>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ID_648</t>
  </si>
  <si>
    <t xml:space="preserve">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</si>
  <si>
    <t xml:space="preserve">https://wayback.archive-it.org/7993/20170111231726/http://www.fda.gov/Drugs/InformationOnDrugs/ApprovedDrugs/ucm314438.htm</t>
  </si>
  <si>
    <t xml:space="preserve">Ziv-Aflibercept
Share
Tweet
Linkedin
Pin it
More sharing options
Linkedin
Pin it
Email
Print
On August 3, 2012, the U. S. Food and Drug Administration approved ziv-aflibercept injection (Zaltrap, Sanofi U.S., Inc.) for use in combination with 5-fluorouracil, leucovorin, irinotecan (FOLFIRI) for the treatment of patients with metastatic colorectal cancer (mCRC) that is resistant to or has progressed following an oxaliplatin‑containing regimen. Ziv-aflibercept (previously known as aflibercept) is a recombinant fusion protein consisting of vascular endothelial growth factor (VEGF)-binding portions from the extracellular domains of human VEGF receptors 1 and 2 that are fused to the Fc portion of the human IgG1 immunoglobulin. 
This approval is based on the results of a randomized, double-blind, placebo-controlled, global, multicenter trial enrolling patients with mCRC that progressed during or within 6 months of receiving oxaliplatin-based combination chemotherapy, with or without prior bevacizumab.
The Phase 3 trial accrued 1226 patients who were randomly allocated (1:1) to receive FOLFIRI (irinotecan 180 mg/m2 IV infusion over 90 minutes, leucovorin 400 mg/m² IV infusion over 2 hours, followed by 5-FU 400 mg/m² IV bolus, followed by 5-FU 2400 mg/m² continuous IV infusion over 46-hours) with either ziv-aflibercept (N=612) or placebo (N=614). Ziv-aflibercept was administered at a dose of 4 mg/kg IV infusion over 1 hour prior to FOLFIRI. The treatment cycles on both arms were repeated every 2 weeks. Patients were treated until disease progression or unacceptable toxicity. The primary efficacy endpoint was overall survival (OS). Treatment assignment was stratified by the ECOG performance status and prior exposure to bevacizumab.
Median age of randomized patients was 61 years, 59% were men, and 98% had an ECOG performance status of 0 or 1. All patients had received prior oxaliplatin treatment. A statistically significant improvement in OS was observed in patients receiving FOLFIRI plus ziv-aflibercept compared to those receiving FOLFIRI plus placebo [HR 0.82 (95% CI: 0.71, 0.94), p=0.0032, stratified log-rank test]. The median OS was 13.5 and 12.06 months for patients on the ziv-aflibercept and placebo arms, respectively. Median progression-free survival in the ziv-aflibercept arm was 6.9 compared to 4.7 months in the placebo arm [HR 0.76 (95% CI: 0.66, 0.87), p=0.00007]. 
The most common adverse reactions, (all grades), occurring in ≥ 20% of patients in the ziv-aflibercept plus FOLFIRI arm (with &gt; 2% difference between arms) were leukopenia, diarrhea, neutropenia, proteinuria, increased AST and ALT, stomatitis, fatigue, thrombocytopenia, hypertension, decreased weight, decreased appetite, epistaxis, abdominal pain, dysphonia, increased serum creatinine, and headache. The most common grade 3-4 adverse reactions (≥ 5%) reported at a higher incidence in the ziv-aflibercept plus FOLFIRI arm (&gt; 2% difference between arms) were neutropenia, diarrhea, hypertension, leukopenia, stomatitis, fatigue, proteinuria, and asthenia. 
Severe and sometimes fatal hemorrhages, including gastrointestinal hemorrhages, have been reported in patients receiving ziv-aflibercept. Grade 3-4 hemorrhagic events occurred in 2.9% of patients receiving FOLFIRI plus ziv-aflibercept compared with 1.7% of those receiving FOLFIRI plus placebo. In addition to hemorrhage, the ziv-aflibercept label contains a Boxed Warning for the serious adverse reactions gastrointestinal perforation and compromised wound healing. 
Arterial thromboembolic events were observed in 1.7% and 2.6% of patients in the placebo and ziv-aflibercept containing arms, respectively. Venous thromboembolic events were also observed more frequently with ziv-aflibercept: 9% patients in the ziv-aflibercept-containing arm compared to 7% in the placebo-containing arm. Fistula formation and reversible posterior leukoencephalopathy syndrome have also been reported in patients who received ziv-aflibercept.
The recommended ziv-aflibercept dose and schedule is 4 mg/kg administered as a 60-minute IV infusion every 2 weeks in combination with the FOLFIRI regimen.
Full prescribing information, including Boxed Warning, clinical trial information, safety, dosing, and use in specific populations are available at: http://www.accessdata.fda.gov/drugsatfda_docs/label/2012/125418s000lbl.pdf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</si>
  <si>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ID_649</t>
  </si>
  <si>
    <t xml:space="preserve">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</si>
  <si>
    <t xml:space="preserve">https://wayback.archive-it.org/7993/20170111231726/http://www.fda.gov/Drugs/InformationOnDrugs/ApprovedDrugs/ucm313008.htm</t>
  </si>
  <si>
    <t xml:space="preserve">Everolimus 2012
Share
Tweet
Linkedin
Pin it
More sharing options
Linkedin
Pin it
Email
Print
On July 20, 2012, the U.S. Food and Drug Administration approved everolimus tablets (Afinitor, Novartis Pharmaceuticals Corporation) for the treatment of postmenopausal women with advanced hormone receptor-positive, HER2-negative breast cancer in combination with exemestane, after failure of treatment with letrozole or anastrozole. The approval was based on a randomized, double-blind, multicenter trial conducted in 724 postmenopausal women with estrogen receptor-positive, HER2-negative, advanced breast cancer with recurrence or progression following prior therapy with letrozole or anastrozole. Patients were randomly allocated (2:1) to everolimus 10 mg/day plus exemestane 25 mg/day (n=485) or to placebo plus exemestane 25 mg/day (n=239). Patients were not permitted to cross over to everolimus at the time of disease progression. 
The median progression-free survival (PFS) by investigator assessment at the time of the final PFS analysis was 7.8 and 3.2 months in the everolimus and placebo arms, respectively [HR 0.45 (95% CI: 0.38, 0.54), p &lt; 0.0001]. The results of the PFS analysis based on independent central radiological assessment were consistent with the investigator assessment. PFS results were also consistent across the subgroups of age, race, presence and extent of visceral metastases, and sensitivity to prior hormonal therapy. The objective response rates were 12.6% and 1.7% in the everolimus and placebo arms, respectively. An interim analysis of overall survival (OS) conducted at 46% of expected events was not statistically significant [HR=0.77 (95% CI: 0.57, 1.04)]. The final analysis of OS is expected to occur in June 2014. 
Safety was evaluated in 720 patients enrolled in the randomized trial. The most common grade 1-4 adverse reactions (incidence ≥ 30%) in patients receiving everolimus plus exemestane were stomatitis, infections, rash, fatigue, diarrhea, and decreased appetite. The most common grade 3-4 adverse reactions (≥ 2%) were stomatitis, infections, hyperglycemia, fatigue, dyspnea, pneumonitis, and diarrhea. The most common grade 3-4 laboratory abnormalities (≥ 3%) were lymphopenia, hyperglycemia, anemia, decreased potassium, increased AST, increased ALT, and thrombocytopenia.
Fatal adverse reactions occurred in 2% of patients on the everolimus arm compared to 0.4% of patients on the placebo arm. Adverse reactions resulting in permanent discontinuation occurred in 24% and 5% of patients in the everolimus and placebo arms, respectively. Dose interruptions or reductions were necessary in 63% of patients on the everolimus arm compared to 14% on the placebo arm.
Forty percent of patients on the everolimus arm were ≥ 65 years of age and 15% were ≥ 75 years of age. No overall differences in effectiveness were observed between elderly and younger patients. The incidence of deaths due to any cause within 28 days of the last everolimus dose was 6% in patients ≥ 65 years of age compared to 2% in patients &lt; 65 years of age. Adverse reactions leading to permanent treatment discontinuation occurred in 33% of patients ≥ 65 years of age compared to 17% of patients &lt; 65 years of age.
The recommended dose and schedule for everolimus for this indication is 10 mg orally each day. Patients with severe or intolerable adverse reactions may require dose reduction or interruption.
Full prescribing information, including clinical trial information, safety, dosing, drug-drug interactions and contraindications is available at: http://www.accessdata.fda.gov/drugsatfda_docs/label/2012/022334s016lbl.pdf
Healthcare professionals should report all serious adverse events suspected to be associated with the use of any medicine and device to FDA's MedWatch Reporting System by completing a form online, by faxing (1-800-FDA-0178) or mailing the postage-paid address form provided online, or by telephone (1-800-FDA-1088).</t>
  </si>
  <si>
    <t xml:space="preserve">ID_651</t>
  </si>
  <si>
    <t xml:space="preserve">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</si>
  <si>
    <t xml:space="preserve">https://wayback.archive-it.org/7993/20170111231726/http://www.fda.gov/Drugs/InformationOnDrugs/ApprovedDrugs/ucm310933.htm</t>
  </si>
  <si>
    <t xml:space="preserve">Cetuximab in Combination with Folfiri / Therascreen
Share
Tweet
Linkedin
Pin it
More sharing options
Linkedin
Pin it
Email
Print
On July 6, 2012 , the U. S. Food and Drug Administration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This approval was based on retrospective analyses in the patient subsets according to K-ras mutation status in tumor samples from patients enrolled in the CRYSTAL trial and in two supportive studies, CA225025 and EMR 62 202-047 (OPUS). The addition of cetuximab to chemotherapy or best supportive care (BSC) resulted in improved survival (OS), progression-free survival (PFS), and overall responses rates (ORR) in the subset with K-ras wild-type tumors; whereas, there was no benefit or potential harm in patients with K-ras mutant tumors. The approval of the companion diagnostic, the QIAGEN Therascreen KRAS RGQ PCR Kit, provides a reliable way to identify these subsets of patients with colon cancer. This QIAGEN test, a genetic assay, is a real-time polymerase chain reaction assay detecting 7 different mutations of the K-ras gene in a tumor specimen. Tumors that are K-ras mutation-negative in this assay are commonly referred to as K-ras wild-type.
CRYSTAL was an open-label, randomized, controlled trial in patients with EGFR-expressing mCRC who had not received prior chemotherapy for metastatic disease. A total of 1217 patients, irrespective of K-ras mutation status, were randomized (1:1) to receive either cetuximab in combination with FOLFIRI or FOLFIRI alone. PFS was the primary efficacy endpoint.
A statistically significant improvement in PFS was observed with cetuximab plus FOLFIRI arm compared to the FOLFIRI alone [median PFS 8.9 vs. 8.1 months, HR 0.85, (95% CI: 0.74, 0.99), p-value=0.036] in the overall population. OS, a secondary endpoint, was not significant in the planned analysis [HR 0.93, (95% CI: 0.82, 1.07), p-value 0.327, 838 events]. In an updated analysis with an additional 162 events, the median OS was 19.6 compared to 18.5 months for cetuximab-containing arm and FOLFIRI alone arm [HR 0.88 (95% CI: 0.78, 1.00)]. 
Retrospective efficacy analyses in patient subsets with K-ras wild-type and mutant tumors, demonstrated that in the wild-type subgroup, the addition of cetuximab to FOLFIRI resulted in a favorable effect on OS, PFS and ORR. Tumor tissue was evaluable for K-ras mutation status assessment in 89% of the patients (N=1079/1217); 676 (63%) had wild-type and 403 (37%) had mutant tumors. 
The median OS for the wild-type subgroup was 23.5 versus 19.5 months for the cetuximab plus FOLFIRI and FOLFIRI alone, respectively [HR 0.80 (95% CI: 0.67, 0.94)]. PFS and ORR findings in the K-ras wild-type subgroup supported the efficacy of cetuximab in combination with FOLFIRI; the median PFS was 9.5 versus 8.1 months for cetuximab plus FOLFIRI and FOLFIRI alone, respectively [HR 0.70 (95% CI: 0.57, 0.86)]. ORR was 57% with cetuximab plus FOLFIRI compared to 39% with FOLFIRI alone. In the mutant subgroup, improvements in OS, PFS or ORR were not observed with the addition of cetuximab to FOLFIRI compared to FOLFIRI alone.
Retrospective analyses of two supportive studies, CA225025 and OPUS by tumor K-ras mutation status supported cetuximab’s efficacy in the wild-type subgroup: 
CA225025 was an open-label, randomized, trial comparing cetuximab plus best supportive care (BSC) with BSC alone in patients with previously treated EGFR-expressing mCRC. CA225025 demonstrated a statistically significant improvement in OS in the cetuximab plus BSC arm compared to BSC alone. The planned efficacy results served as the basis for the full approval of cetuximab in October 2007 as a single agent for EGFR-expressing mCRC after failure of both irinotecan- and oxaliplatin-based regimens or in patients intolerant to irinotecan-based regimens. 
Tumor tissue was evaluable for K-ras mutation status in 79% of patients (N=453/572). In the wild-type subgroup, cetuximab plus BSC resulted in an improvement in OS compared to those receiving BSC alone [HR 0.63 (95% CI: 0.47, 0.84)]. The median OS was 8.6 versus 5.0 months in the cetuximab plus BSC and BSC arms, respectively. The median PFS was 3.8 and 1.9 months for the cetuximab plus BSC and the BSC alone, respectively [HR 0.42 (95% CI: 0.32, 0.56)]. In the mutant subgroup, no improvements in OS, PFS or ORR were observed with the addition of cetuximab to BSC compared to BSC alone.
OPUS was a randomized, open-label, phase 2 study comparing cetuximab in combination with 5-flourouracil, folinic acid, and oxaliplatin (FOLFOX-4) to FOLFOX-4 alone as first-line treatment of EGFR-expressing mCRC. Tumor tissue was evaluable for retrospective K-ras mutation status analysis in 93% of patients (N=315/337). ORR was the trial’s primary endpoint. In the wild-type subgroup (N=179/315, 57%), ORR was 57% (95% CI: 46, 68) in the cetuximab plus FOLFOX-4 arm compared to 34% (95% CI: 25, 44) with FOLFOX-4. A numerical improvement in PFS was noted in the wild-type subgroup [HR 0.57 (95% CI: 0.38, 0.86)]. The median PFS was 8.3 compared to 7.2 months favoring the cetuximab-containing arm. A numerical OS improvement was also observed in the wild-type subgroup [HR 0.86 (95% CI: 0.60, 1.22)]. The median OS for the cetuximab-containing arm was 22.8 versus 18.5 months in the control arm. In the K-ras mutant subgroup (N=136/315, 43%), improvement in OS, PFS or ORR were not observed with cetuximab plus FOLFOX-4 compared to FOLFOX-4 alone.
Safety data were evaluated in 317 patients in the wild-type subgroup who received cetuximab in combination with FOLFIRI in the CRYSTAL study and in 118 patients with wild-type tumors who received cetuximab monotherapy in CA225025. 
The frequency and nature of the adverse events, including adverse events associated with cetuximab (acne-like rash, infusion reactions, cardiac events, and hypomagnesemia) observed in CRYSTAL, CA225025, and OPUS in the wild-type population were consistent with the known adverse drug reaction profiles of either cetuximab, chemotherapy agents, or the underlying disease. No significant differences between the wild-type, mutant and the overall safety populations have been noted.
The recommended dose and schedule for cetuximab is 400 mg/m2 administered intravenously as a 120-minute infusion as an initial dose, followed by 250 mg/m2 infused over 30 minutes weekly in combination with FOLFIRI. Cetuximab administration should be completed 1 hour prior to FOLFIRI.
Product labeling for cetuximab provides “Limitation of Use” information specifying that cetuximab is not indicated for treatment of K-ras mutation-positive colorectal cancer.
Full prescribing information, including clinical trial information, safety, dosing, drug-drug interactions and contraindications is available at: http://www.accessdata.fda.gov/drugsatfda_docs/label/2012/125084s225lbl.pdf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</si>
  <si>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ID_652</t>
  </si>
  <si>
    <t xml:space="preserve">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</si>
  <si>
    <t xml:space="preserve">https://wayback.archive-it.org/7993/20170111231726/http://www.fda.gov/Drugs/InformationOnDrugs/ApprovedDrugs/ucm307592.htm</t>
  </si>
  <si>
    <t xml:space="preserve">FDA Approves Pertuzumab
Share
Tweet
Linkedin
Pin it
More sharing options
Linkedin
Pin it
Email
Print
On June 8, 2012, the U. S. Food and Drug Administration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The approval is based on a randomized, double-blind, placebo-controlled, multicenter trial in patients with HER2-positive metastatic breast cancer. Breast tumor specimens were required to show HER2 overexpression defined as 3+ IHC or FISH amplification ratio ≥ 2.0 using FDA-approved tests at a central laboratory. Patients with prior adjuvant or neoadjuvant therapy were required to have a disease-free interval of greater than 12 months before trial enrollment. 
The trial enrolled 808 patients who were randomly allocated (1:1) to receive pertuzumab in combination with trastuzumab and docetaxel (n=402) or placebo in combination with trastuzumab and docetaxel (n=406). Pertuzumab was given by intravenous (IV) infusion at an initial dose of 840 mg, followed by 420 mg every three weeks thereafter. Treatment continued until disease progression, unacceptable toxicity, or consent withdrawal. 
All but two patients were female (99.8%), and the median age was 54 years. Forty-eight percent of patients were hormone receptor positive, and 47% received prior adjuvant or neoadjuvant chemotherapy. Forty-five percent of hormone receptor positive patients received prior adjuvant hormonal therapy. Eleven percent of patients received prior adjuvant or neoadjuvant trastuzumab. 
A statistically significant 6.1 month improvement in median progression-free survival (PFS) was observed in patients receiving pertuzumab compared to those receiving placebo [HR 0.62 (95% CI: 0.51, 0.75), p&lt; 0.0001, log-rank test]. The median PFS was 18.5 and 12.4 months for patients on the pertuzumab and placebo arms, respectively. At the time of PFS analysis, a planned interim analysis for overall survival (OS) was performed [HR 0.64 (95% CI: 0.47, 0.88), p=0.0053]. However, the HR and p-value for the interim analysis of OS did not meet the pre-defined stopping boundary (HR ≤ 0.603, p ≤ 0.0012).
The most common (&gt; 30%) adverse reactions observed in patients receiving pertuzumab in combination with trastuzumab and docetaxel neutropenia, nausea, fatigue, rash, and peripheral neuropathy. The most common (&gt; 2%) NCI – CTCAE (version 3) Grade 3 – 4 adverse reactions were neutropenia, febrile neutropenia, leukopenia, diarrhea, peripheral neuropathy, anemia, asthenia, and fatigue. Other significant adverse reactions reported with pertuzumab include left ventricular dysfunction, infusion-associated reactions, hypersensitivity reactions, and anaphylaxis. Pertuzumab in combination with trastuzumab and docetaxel was not associated with increases in the incidence of symptomatic left ventricular systolic dysfunction (LVSD) or decreases in left ventricular ejection fraction (LVEF) compared with placebo in combination with trastuzumab and docetaxel.were diarrhea, alopecia,
Pertuzumab is being approved with a BOXED WARNING regarding embryo-fetal toxicity and birth defects, based on observations of oligohydramnios, delayed renal development and embryo-fetal death in animal studies. Patients should be advised of these risks and need for effective contraception prior to starting pertuzumab. 
The recommended dose and schedule of pertuzumab is an initial dose of 840 mg administered as a 60-minute IV infusion, followed every 3 weeks, thereafter, by 420 mg administered as a 30 to 60 minute IV infusion. When administered with pertuzumab the recommended initial trastuzumab dose is 8 mg/kg administered as a 90-minute IV infusion, followed every 3 weeks by a dose of 6 mg/kg administered IV over 30 to 90 minutes. When administered with pertuzumab, the recommended initial docetaxel dose is 75 mg/m2 administered as an IV infusion. The dose may be escalated to 100 mg/m2 administered every 3 weeks if the initial dose is well tolerated.
Full prescribing information, including Boxed Warning for embryo-fetal toxicity, clinical trial information, safety, dosing, and use in specific populations is available at: http://www.accessdata.fda.gov/drugsatfda_docs/label/2012/125409lbl.pdf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</si>
  <si>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ID_662</t>
  </si>
  <si>
    <t xml:space="preserve">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</si>
  <si>
    <t xml:space="preserve">https://wayback.archive-it.org/7993/20170111231727/http://www.fda.gov/AboutFDA/CentersOffices/OfficeofMedicalProductsandTobacco/CDER/ucm280543.htm</t>
  </si>
  <si>
    <t xml:space="preserve">asparaginase Erwinia chrysanthemi
Share
Tweet
Linkedin
Pin it
More sharing options
Linkedin
Pin it
Email
Print
On November 18, 2011, the U. S. Food and Drug Administration approved asparaginase Erwinia chrysanthemi [Erwinaze, injection, EUSA Pharma (USA), Inc.] as a component of a multi-agent chemotherapeutic regimen for the treatment of patients with acute lymphoblastic leukemia (ALL) who have developed hypersensitivity to E. coli-derived asparaginase.
The approval was based on one clinical study in 58 patients with ALL who were unable to continue receiving pegaspargase or asparaginase derived from E. coli due to allergic reactions. The major efficacy outcome was attainment of sustained serum asparaginase activity levels of 0.1 IU/mL or higher, which is known to result in depletion of asparagine to levels that predict efficacy. Among 48 patients with available samples, all patients achieved this threshold trough level of asparaginase activity.
Safety was evaluated in 58 patients treated on the clinical study and in 574 patients treated on the Erwinaze Master Treatment Protocol (EMTP), an expanded access program.
The most serious adverse reactions included allergic reactions (including anaphylaxis), pancreatitis, abnormal transaminases, coagulopathies, hemorrhage, nausea, vomiting and hyperglycemia. Common adverse reactions were similar in severity and incidence to those attributable to E. coli-derived asparaginase.
The recommended dose and schedules for asparaginase Erwinia chrysanthemi are listed below.
In substitution for pegaspargase:
25,000 International Units/m2 administered intramuscularly three times a week (Monday/Wednesday/Friday) for six doses for each planned pegaspargase dose. 
In substitution for native E. coli asparaginase:
25,000 International Units/m2 administered intramuscularly for each scheduled dose of native E. coli asparaginase within a treatment course. 
Full prescribing information, including clinical trial information, safety, dosing, drug-drug interactions and contraindications is available at: http://www.accessdata.fda.gov/drugsatfda_docs/label/2011/125359lbl.pdf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</si>
  <si>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ID_664</t>
  </si>
  <si>
    <t xml:space="preserve">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</si>
  <si>
    <t xml:space="preserve">https://wayback.archive-it.org/7993/20170111231727/http://www.fda.gov/AboutFDA/CentersOffices/OfficeofMedicalProductsandTobacco/CDER/ucm278957.htm</t>
  </si>
  <si>
    <t xml:space="preserve">Cetuximab (Erbitux)
Share
Tweet
Linkedin
Pin it
More sharing options
Linkedin
Pin it
Email
Print
On November 7, 2011, the U.S. Food and Drug Administration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The approval was based primarily on the results of a multi-center clinical study conducted outside the U.S. in 442 patients with metastatic or locally recurrent head and neck cancer who were not suitable for potentially curative treatment with surgery or radiation. The study used a European Union (EU) approved cetuximab rather than the US-approved cetuximab (Erbitux). Erbitux provides approximately 22% higher exposure relative to the EU-approved cetuximab; these pharmacokinetic data, together with the results of the study conducted in Europe and other clinical trial data using Erbitux establish the safety and efficacy of Erbitux at the recommended dose.
The trial enrolled 442 patients; 222 patients received cetuximab plus cisplatin (or carboplatin) with 5FU and 220 patients received cisplatin (or carboplatin) with 5-FU. The selection of cisplatin or carboplatin was at the discretion of the treating health care provider.
Either cisplatin (100 mg/m2 intravenously day 1) or carboplatin (AUC 5 intravenously day 1) with 5-FU (1000 mg/m2/day continuous intravenous infusion days 1–4) were administered every 3 weeks (1 cycle). A maximum of 6 cycles was administered in the absence of disease progression or unacceptable toxicity. Cetuximab, 400 mg/m2 intravenously, was administered as an initial dose followed by cetuximab, 250 mg/m2 intravenously weekly, in combination with chemotherapy. After completion of 6 planned courses, patients demonstrating at least stable disease on cetuximab in combination with chemotherapy continued cetuximab monotherapy (250 mg/m2 weekly) in the absence of disease progression or unacceptable toxicity.
Of the 442 randomized patients, the median age was 57 years, 90% were male, 98% were Caucasian, and 88% had baseline Karnofsky Performance Status ≥80. Thirty-four percent had oropharyngeal, 25% laryngeal, 20% oral cavity, and 14% hypopharyngeal primary tumors. Fifty-three percent had recurrent disease without metatases; the remaining 47% had metastatic disease including recurrence.
Sixty-four percent received cisplatin while 34% received carboplatin as initial therapy. Approximately 15% of patients changed from cisplatin to carboplatin during the treatment period.
The major efficacy outcome measure of the trial was overall survival (OS). Other outcome measures included progression-free survival (PFS) and objective response rate (ORR).
The median follow-up at the time of the OS analysis was 19.1 and 18.2 months for the cetuximab plus chemotherapy arm and the chemotherapy alone arm, respectively. Overall survival was significantly improved in patients receiving cetuximab plus chemotherapy compared to those receiving chemotherapy alone (HR=0.80; 95% CI: 0.64, 0.98; p = 0.034, stratified log-rank test). The median survival for patients receiving cetuximab plus chemotherapy was 10.1 months compared to 7.4 months for those receiving chemotherapy alone.
Progression-free survival was also significantly improved in patients receiving cetuximab plus chemotherapy (HR=0.57; 95% CI: 0.46, 0.72; p&lt;0.0001, stratified log-rank test). The median PFS times were 5.5 and 3.3 months in the cetuximab plus chemotherapy and the chemotherapy alone arms, respectively. The objective response rates were 35.6% and 19.5% [Odds Ratio (OR) 2.33; 95% CI: 1.50, 3.60; p-value 0.0001, Cochran-Mantel-Haenszel test] in the cetuximab plus chemotherapy and the chemotherapy alone arms, respectively.
Exploratory subgroup analyses were conducted in subgroups by initial platinum therapy (cisplatin or carboplatin). For patients (N=284) receiving the EU-approved cetuximab plus cisplatin with 5-FU compared to cisplatin with 5‑FU alone, the difference in median overall survival times was 3.3 months, with median OS times of 10.6 and 7.3 months respectively [HR 0.71 (95% CI: 0.54, 0.93)]. The difference in median progression-free survival was 2.1 months, with median PFS times of 5.6 and 3.5 months respectively [HR 0.55 (95% CI: 0.41, 0.73)]. The objective response rates were 39% and 23% respectively [OR 2.18 (95% CI: 1.29, 3.69)]. For patients (N=149) receiving cetuximab plus carboplatin with 5-FU compared to carboplatin with 5-FU alone, the difference in median overall survival was 1.4 months, with median survival of 9.7 and 8.3 months, respectively [HR 0.99 (95% CI: 0.69, 1.43)]. The difference in median progression-free survival was 1.7 months with median PFS times of 4.8 and 3.1 months, respectively [HR 0.61 (95% CI: 0.42, 0.89)]. The objective response rates were 30% and 15%, respectively [OR 2.45 (95% CI: 1.10, 5.46)].
The most common adverse reactions (≥25%) in patients treated with cetuximab plus chemotherapy were nausea, anemia, vomiting, neutropenia, rash, asthenia, diarrhea, and anorexia. Conjunctivitis occurred in 10% of the patients receiving cetuximab plus chemotherapy. Other adverse reactions, sometimes severe, caused by cetuximab included infusion reactions, hypomagnesemia, hypocalcemia and hypokalemia. Death attributed to cardiovascular event or sudden death was reported in 3.2% of the patients in the cetuximab plus chemotherapy arm and in 1.9% in the chemotherapy alone arm.
Health care providers should closely monitor serum electrolytes, including serum magnesium, potassium, and calcium, during and after cetuximab administration.
The approved dose of Erbitux is 400 mg/m2 intravenously as an initial dose, followed by 250 mg/m2 intravenously weekly in combination with cisplatin or carboplatin plus continuous infusion 5-FU.
Full prescribing information, including clinical trial information, safety, dosing, drug-drug interactions and contraindications is available at: http://www.accessdata.fda.gov/drugsatfda_docs/label/2011/125084s153lbl.pdf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</si>
  <si>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ID_674</t>
  </si>
  <si>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</si>
  <si>
    <t xml:space="preserve">https://wayback.archive-it.org/7993/20170111231727/http://www.fda.gov/AboutFDA/CentersOffices/OfficeofMedicalProductsandTobacco/CDER/ucm253139.htm</t>
  </si>
  <si>
    <t xml:space="preserve">Abiraterone Acetate
Share
Tweet
Linkedin
Pin it
More sharing options
Linkedin
Pin it
Email
Print
On April 28, 2011, the U.S. Food and Drug Administration approved abiraterone acetate (Zytiga Tablets, Centocor Ortho Biotech, Inc.) for use in combination with prednisone for the treatment of patients with metastatic castration-resistant prostate cancer (mCRPC) who have received prior chemotherapy containing docetaxel. 
The approval is based on the results of a randomized, placebo-controlled, multicenter trial in 1195 patients with mCRPC previously treated with docetaxel-containing regimens. Patients were randomly allocated (2:1) to receive either abiraterone acetate orally at a dose of 1000 mg once daily (N=797) or placebo once daily (N=398). Patients in both arms (abiraterone acetate and placebo) received prednisone 5 mg orally twice daily. Treatment continued until disease progression (defined as a 25% increase in PSA over the patient’s baseline/nadir together with protocol-defined radiographic progression and symptomatic or clinical progression), unacceptable toxicity, initiation of new treatment, or withdrawal. Patients with prior ketoconazole treatment for prostate cancer and a history of adrenal gland or pituitary disorders were excluded.
A pre-specified interim overall survival (OS) analysis was performed when 552 events had occurred. This analysis demonstrated a statistically significant improvement in OS in patients receiving abiraterone acetate compared to those on the placebo-containing arm (HR=0.646; 95% CI: 0.543, 0.768; p &lt; 0.0001). The median OS was 14.8 versus 10.9 months in the abiraterone and placebo arm, respectively. An updated OS analysis, conducted after 775 events, demonstrated a median OS of 15.8 versus 11.2 months in the abiraterone acetate and placebo-containing arms, respectively (HR=0.740; 95% CI: 0.638, 0.859).
The most common adverse reactions (&gt; 5%) were joint swelling or discomfort, hypokalemia, edema, muscle discomfort, hot flush, diarrhea, urinary tract infection, cough, hypertension, arrhythmia, urinary frequency, nocturia, dyspepsia and upper respiratory tract infection. The most common adverse drug reactions resulting in drug discontinuation were increased aspartate aminotransferase and/or alanine aminotransferase, urosepsis and cardiac failure (each in &lt; 1% of patients taking abiraterone).
The most common electrolyte imbalances in patients receiving abiraterone were hypokalemia (28%) and hypophosphatemia (24%). Following interruption of daily corticosteroids and/or with concurrent infection or stress, adrenocortical insufficiency (&lt;1%) has been reported in clinical trials in patients receiving abiraterone acetate at the recommended dose in combination with prednisone.
Abiraterone acetate Cmax and exposure were increased up to 17-fold and 10-fold higher, respectively, when a single dose was administered with a meal compared to a fasting state.
The recommended dose and schedule for abiraterone acetate is 1000 mg orally once daily in combination with prednisone 5 mg orally twice daily. Abiraterone acetate should be taken on an empty stomach. No food should be consumed for at least two hours before the dose of abiraterone acetate is taken and for at least one hour after the abiraterone acetate dose.
Full prescribing information, including clinical trial information, safety, dosing, drug-drug interactions and contraindications is available at: http://www.accessdata.fda.gov/drugsatfda_docs/label/2011/202379lbl.pdf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</si>
  <si>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ID_684</t>
  </si>
  <si>
    <t xml:space="preserve">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</si>
  <si>
    <t xml:space="preserve">https://wayback.archive-it.org/7993/20170111231728/http://www.fda.gov/AboutFDA/CentersOffices/OfficeofMedicalProductsandTobacco/CDER/ucm230418.htm</t>
  </si>
  <si>
    <t xml:space="preserve">FDA Appoves Trastuzumab (Herceptin)
Share
Tweet
Linkedin
Pin it
More sharing options
Linkedin
Pin it
Email
Print
On October 20, 2010, the U. S. Food and Drug Administration granted approval for trastuzumab (Herceptin), Genentech, Inc.), in combination with cisplatin and a fluoropyrimidine (capecitabine or 5-fluorouracil), for the treatment of patients with HER2 overexpressing metastatic gastric or gastroesophageal (GE) junction adenocarcinoma, who have not received prior treatment for metastatic disease.
The approval is based on a significant improvement in median overall survival (OS) of 2.5 months with trastuzumab plus chemotherapy treatment compared to chemotherapy alone demonstrated in a single, international, multicenter, open-label, randomized clinical trial, BO18255 (ToGA trial). A total of 594 patients with locally advanced or metastatic HER2 overexpressing adenocarcinoma of the stomach or GE junction were randomized (1:1) to receive either trastuzumab plus chemotherapy or chemotherapy alone
Trastuzumab was administered at an initial dose of 8 mg/kg intravenously (IV) followed by 6 mg/kg every three weeks until disease progression or intolerable toxicity. The chemotherapy regimen included cisplatin 80 mg/m2 IV day 1 every three weeks for six cycles and a fluoropyrimidine (either capecitabine 1000 mg/m2 orally twice daily for fourteen days or 5-fluorouracil 800 mg/m2 /day continuous intravenous infusion (CIV) days 1-5 every three weeks for six cycles.) All tumors were confirmed to be HER2 gene amplified by FISH or protein overexpressing (IHC 3+) using validated assays performed at a central laboratory.
Among the 594 patients, 82% had primary gastric cancer, 18% had primary GE junction adenocarcinoma; 97% had metastatic disease. The median age was 60 years (range 2183) and 76% were male. Asians comprised 53% of the study population, Caucasians 38%; and Hispanics 5%. Nearly all patients (95%) had tumors with HER2 gene amplification by FISH. With HER2 IHC tumor staining 47% of tumors stained 3+, 30% were 2+, and 22% were 0 or 1+. Approximately 91% of patients had an ECOG PS &lt;1. Prior therapies included gastrectomy (23%), prior neoadjuvant and/or adjuvant therapy (7%) and prior radiotherapy (2%.)
The trial was closed after the second interim analysis when 167 deaths had occurred on the trastuzumab arm and 184 deaths on the control arm. In the final OS analysis, the median OS was 13.5 months (95% CI: 11.7, 15.7) and 11.0 months (95% CI: 9.4, 12.5) in the trastuzumab and control arms, respectively. The hazard ratio (HR) was 0.73 [(95% CI: 0.60, 0.91); p-value, two sided = 0.0038 (nominal significance level of 0.0193)] in favor of the trastuzumab arm.
An updated OS analysis (227 and 221deaths in the trastuzumab and control arms, respectively) demonstrated median OS of 13.1 (95% CI: 11.9, 15.1 mos.) and 11.7 months (95% CI: 10.3, 13.0) in the trastuzumab and control arms, respectively (HR 0.8, 95% CI 0.67, 0.97.) Exploratory OS analyses in subgroups defined by protein expression (IHC testing) suggest that trastuzumab was most effective in prolonging survival in the 294 patient subgroup with HER2 IHC 3+ tumors (HR 0.66, 95% CI 0.50, 0.87) and less effective in the 160 patient subgroup with IHC 2 + tumors (HR 0.78, 95% CI 0.55, 1.10). No trastuzumab treatment effect was apparent in the 133-patient subgroup with HER2 gene amplified, ICH 0 or 1+ tumors (HR 1.33, 95% CI 0.92, 1.92).
The most common adverse reactions (&lt; 10%) associated with trastuzumab were neutropenia, diarrhea, fatigue, anemia, stomatitis, weight loss, fever, thrombocytopenia, mucosal inflammation, nasopharyngitis, and dysgeusia. The most common grade 3 and 4 adverse reactions (&gt;5%) related to trastuzumab were neutropenia (35%), anemia (12%), diarrhea (9%), nausea (8%), anorexia (7%), and vomiting (6%). About 37% of patients receiving trastuzumab plus chemotherapy had infusion-related reactions. No grade 4 infusion reactions or deaths related to infusion reactions were reported. Cardiac adverse reactions occurred at the same incidence on both study arms. The incidence of cardiac failure was &lt; 1%. Over 90% of the deaths in both arms were due to disease progression or disease-related complications. The most common adverse reactions resulting in treatment discontinuation in the trastuzumab arm were infection, diarrhea, and febrile neutropenia.
HER2 overexpression and gene amplification should be determined using FDA-approved tests with an indication for the specific tumor type being tested. Interpretation of the test results may be affected by differences in tumor histopathology (breast, gastric, or GE junction cancer). Limitations in assay precision make it inadvisable to rely on a single method to rule out potential Herceptin benefit.
Full prescribing information, including clinical trial information, safety, dosing, drug-drug interactions and contraindications is available at:
http://www.accessdata.fda.gov/drugsatfda_docs/label/2010/103792s5250lbl.pdf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</si>
  <si>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ID_688</t>
  </si>
  <si>
    <t xml:space="preserve">FDA approved cabazitaxel (Jevtana Injection, sanofi-aventis) for use in combination with prednisone for treatment of patients with metastatic hormone-refractory prostate cancer (mHRPC) previously treated with a docetaxel-containing regimen. More Information73 (June 17, 2010)</t>
  </si>
  <si>
    <t xml:space="preserve">https://wayback.archive-it.org/7993/20170111231728/http://www.fda.gov/AboutFDA/CentersOffices/OfficeofMedicalProductsandTobacco/CDER/ucm216214.htm</t>
  </si>
  <si>
    <t xml:space="preserve">Cabazitaxel
Share
Tweet
Linkedin
Pin it
More sharing options
Linkedin
Pin it
Email
Print
On June 17, 2010, the U.S. Food and Drug Administration (FDA) approved cabazitaxel (Jevtana Injection, sanofi-aventis) for use in combination with prednisone for treatment of patients with metastatic hormone-refractory prostate cancer (mHRPC) previously treated with a docetaxel-containing regimen. 
The approval is based primarily on the results of a randomized, open-label, international trial of 755 patients with mHRPC previously treated with docetaxel-containing regimens. Patients were randomized to receive either cabazitaxel 25 mg/m2 intravenously every three weeks in combination with prednisone 10 mg/day or mitoxantrone 12 mg/m2 intravenously every three weeks in combination with prednisone 10 mg/day. Patients were treated until disease progression, death, unacceptable toxicity, or completion of 10 cycles of therapy. 
Median survivals were 15.1 and 12.7 months for cabazitaxel-treated and mitoxantrone-treated patients, respectively [HR 0.70 (95% CI 0.59-0.83), p&lt;0.0001.] Investigator-assessed response rates using RECIST criteria was 14.4 and 4.4% for cabazitaxel-treated and mitoxantrone-treated patients, respectively, p=0.0005. No complete responses were observed on either arm.
The most common (≥10%) grade 1-4 adverse reactions included neutropenia, anemia, leukopenia, thrombocytopenia, diarrhea, fatigue, nausea, vomiting, constipation, asthenia, abdominal pain, hematuria, back pain, anorexia, peripheral neuropathy, pyrexia, dyspnea, dysgeusia, cough, arthralgia and alopecia. The most common (≥5%) grade 3-4 adverse reactions were neutropenia, leukopenia, anemia, febrile neutropenia, diarrhea, fatigue and asthenia.
Deaths due to causes other than disease progression within 30 days of the last dose were reported in 18 (5%) cabazitaxel-treated patients and 3 (&lt;1%) mitoxantrone-treated patients. The most common fatal adverse reactions in cabazitaxel-treated patients were infections (n=5), and renal failure (n=4). One death was due to diarrhea-induced dehydration and electrolyte imbalance.
G-CSF may be administered to reduce the risks of neutropenic complications associated with cabazitaxel use. Primary prophylaxis with G-CSF should be considered in patients with high-risk clinical features including age &gt; 65 years, poor performance status, previous episodes of febrile neutropenia, extensive prior radiation ports, poor nutritional status, or other serious comorbidities. Therapeutic use of G-CSF and secondary prophylaxis should be considered in patients at an increased risk for neutropenia complications.
Because of the risk of severe hypersensitivity, patients should be premedicated with an antihistamine, a corticosteroid and an H2 antagonist. In addition, antiemetic prophylaxis is recommended.
Full prescribing information, including clinical trial information, safety, dosing, drug-drug interactions and contraindications is available at: http://www.accessdata.fda.gov/drugsatfda_docs/label/2010/201023lbl.pdf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t>
  </si>
  <si>
    <t xml:space="preserve">ID_692</t>
  </si>
  <si>
    <t xml:space="preserve">FDA granted approval to rituximab (Rituxan, Genentech), in combination with fludarabine and cyclophosphamide (FC), for the treatment of previously untreated and previously treated patients with chronic lymphocytic leukemia (CLL). More Information77 (February 18, 2010)</t>
  </si>
  <si>
    <t xml:space="preserve">https://wayback.archive-it.org/7993/20170111231728/http://www.fda.gov/AboutFDA/CentersOffices/OfficeofMedicalProductsandTobacco/CDER/ucm201392.htm</t>
  </si>
  <si>
    <t xml:space="preserve">Rituximab
Share
Tweet
Linkedin
Pin it
More sharing options
Linkedin
Pin it
Email
Print
On February 18, 2010, the U.S. Food and Drug Administration granted approval to rituximab (Rituxan, Genentech), in combination with fludarabine and cyclophosphamide (FC), for the treatment of previously untreated and previously treated patients with chronic lymphocytic leukemia (CLL). The approval was based on a clinically meaningful and statistically significant increase in progression-free survival (PFS) observed in two randomized multicenter open-label trials in patients randomized to receive either FC or the combination of FC with rituximab (R-FC).
In both studies patients received intravenous (i.v.) fludarabine 25 mg/m2/day and cyclophosphamide 250 mg/m2/day, daily for 3 days, repeated every 28 days for a total of 6 cycles. Rituximab 375 mg/m2 by i.v. infusion was administered on day 1 of the first cycle (the day before chemotherapy) and 500 mg/m2 i.v. on day 1 of subsequent cycles (on the same day as chemotherapy). The primary efficacy outcome was PFS, defined as the time from randomization to either disease progression, relapse, or death. Secondary endpoints included overall survival (OS) and overall response rates determined by the 1996 National Cancer Institute-sponsored Working Group Guidelines. 
Study ML17102, also known as CLL8, was conducted by the German CLL Study Group and enrolled treatment-naïve patients. A total of 408 patients were randomized to the R-FC arm and 409 patients to the FC arm. The median age was 61 years (30% were ≥ 65 years old), 74% were male, 31% were Binet stage C, 45% had B symptoms, and more than 99% had ECOG performance status (PS) 0-1.
The primary efficacy endpoint was PFS as determined by the investigators. The median PFS were 39.8 months and 31.5 months in the R-FC and FC arms, respectively [HR 0.56 (95% CI: 0.43, 0.71), p &lt;0.01, log rank test]. Overall response rates were 86% (95% CI 82, 89) in the R-FC arm and 73% (95% CI 68, 77) in the FC arm.
Study BO17072, also known as REACH, conducted by Roche and Biogen Idec, enrolled 552 patients with relapsed or refractory CLL following prior systemic therapy. Patients were randomized to receive either R-FC (n=276) or FC (n=276). The median age was 62 years old (44% ≥65 years old), and 67% were male. Eighty-two percent received a prior alkylator-containing regimen and 18% received a fludarabine-containing regimen. “B” symptoms were present in 28% and 100% were ECOG PS 0-1.
The median PFS was 26.7 versus 21.7 months for the R-FC and FC arms, respectively, as determined by an independent review committee [HR 0.76 (95% CI: 0.60, 0.96), p= 0.022, log-rank test]. Overall response rates were 54% (95% CI: 48, 60) in the R-FC arm and 45% (95% CI: 37, 51) in the FC arm. 
Too few events occurred at the time of regulatory submission to conduct a meaningful analysis of OS in either study. Follow-up of patients for OS is ongoing. 
Across both studies, 100 patients who received R-FC and 89 patients who received FC were ≥70 years old. The results of exploratory analyses in this elderly population did not suggest a treatment benefit for the addition of Rituxan to FC in either the previously untreated [HR 1.17 (95% CI: 0.51, 2.66)] or previously treated settings [HR 1.22 (95% CI: 0.73, 2.04)].
The safety of rituximab when combined with FC was assessed in 676 patients who received the R-FC regimen. In both studies, 71% received 6 cycles and 90% received at least 3 cycles of Rituxan-based therapy. Grade 3-4 infusion reactions occurred in 7-9% of R-FC treated patients. The following Grade 3-4 adverse events were more frequently observed in the R-FC arm compared to FC arm alone: neutropenia, febrile neutropenia, leukopenia thrombocytopenia, hypotension, hepatitis B, and pancytopenia.
Rituxan is approved as a single agent for the treatment of relapsed or refractory low-grade or follicular CD-20 positive non-Hodgkin’s lymphoma (NHL) and for the treatment of patients with non-progressing low-grade CD-20 positive NHL following first-line CVP chemotherapy, or in conduction with CVP for first-line treatment of previously untreated CD20, B-cell follicular NHL and in combination with CHOP or other anthracycline-based chemotherapy regimens for the treatment of previously untreated diffuse, large B-cell CD20 positive NHL.
Serious adverse reactions of Rituxan include fatal infusion reactions, tumor lysis syndrome, severe mucocutaneous reactions, and progressive multifocal leukoencephalopathy (PML). Adverse reactions occurring in more than 25% of Rituxan-treatment patients with lymphoid malignancies are infusion reactions, fever, lymphopenia, chills, infection, and asthenia.
Full prescribing information, including clinical trial information, safety, dosing, drug-drug interactions and contraindications is available at: http://www.accessdata.fda.gov/drugsatfda_docs/label/2010/103705s5311lbl.pdf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t>
  </si>
  <si>
    <t xml:space="preserve">ID_694</t>
  </si>
  <si>
    <t xml:space="preserve">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</si>
  <si>
    <t xml:space="preserve">https://wayback.archive-it.org/7993/20170111231728/http://www.fda.gov/AboutFDA/CentersOffices/OfficeofMedicalProductsandTobacco/CDER/ucm203522.htm</t>
  </si>
  <si>
    <t xml:space="preserve">Tykerb
Share
Tweet
Linkedin
Pin it
More sharing options
Linkedin
Pin it
Email
Print
On January 29, 2010, the U.S. Food and Drug Administration granted accelerated approval to lapatinib tablets (Tykerb, GlaxoSmithKline) for use in combination with letrozole (Femara, Novartis Pharmaceuticals Corp.) for the treatment of postmenopausal women with hormone receptor positive metastatic breast cancer that overexpresses the HER2 receptor and for whom hormonal therapy is indicated. Lapatinib, in combination with an aromatase inhibitor, has not been compared to a trastuzumab-containing chemotherapy regimen for the treatment of metastatic breast cancer. The approval was based on a clinically meaningful increase in progression-free survival (PFS) observed in a single trial (EGF30008). As a condition of accelerated approval, subsequent randomized trials are required to verify and describe the clinical benefit of lapatinib in patients with metastatic breast cancer who have received prior treatment with trastuzumab.
EGF30008 was multinational, randomized, placebo-controlled trial of lapatinib plus letrozole versus placebo plus letrozole in patients with hormone receptor-positive metastatic breast cancer who had not received prior therapy for metastatic disease. Patients were randomly assigned to receive lapatinib (1,500 mg once daily) plus letrozole (2.5 mg once daily) or to placebo plus letrozole (2.5 mg once daily). There were 219 patients (17%) who were HER2-positive, 952 (74%) patients who were HER2-negative, and 115 (9%) patients did not have their HER2-receptor status confirmed.
Accelerated approval was based on the results from the group of postmenopausal women with metastatic breast cancer that overexpressed the HER2 receptor. The primary efficacy endpoint was PFS, defined as the time interval between randomization date and the date of either first documented disease progression or death due to any cause. The lapatinib plus letrozole combination had a median PFS of 35.4 weeks compared to 13.0 weeks for the placebo plus letrozole arm (HR = 0.71, p = 0.019). The overall survival data are not mature at this time.
Safety data was evaluated in 1278 postmenopausal women with hormone receptor-positive metastatic breast cancer. The safety profile of lapatinib in this trial population was consistent with previous safety data. The most common adverse reactions (≥10%) in the lapatinib plus letrozole arm were diarrhea, rash, nausea, and fatigue. Elevated liver enzymes and bilirubin were reported in 53% and 22% of the patients receiving lapatinib, respectively. Among 654 patients who received the lapatinib plus letrozole treatment, 26 patients experienced Grade 1 or 2, and 6 patients experienced Grade 3 or 4 decreases in left ventricular ejection fraction.
Full prescribing information, including clinical trial information, safety, dosing, drug-drug interactions and contraindications is available at http://www.accessdata.fda.gov/drugsatfda_docs/label/2010/022059s007lbl.pdf</t>
  </si>
  <si>
    <t xml:space="preserve">ID_699</t>
  </si>
  <si>
    <t xml:space="preserve">FDA granted approval for the use of bevacizumab (Avastin, Genentech, Inc.) in combination with interferon alfa for the treatment of patients with metastatic renal cell carcinoma. More Information (July 31, 2009)</t>
  </si>
  <si>
    <t xml:space="preserve">https://wayback.archive-it.org/7993/20170111231729/http%3A//www.fda.gov/AboutFDA/CentersOffices/OfficeofMedicalProductsandTobacco/CDER/ucm176025.htm</t>
  </si>
  <si>
    <t xml:space="preserve">Bevacizumab (Avastin) in Combination with Interferon Alfa
Share
Tweet
Linkedin
Pin it
More sharing options
Linkedin
Pin it
Email
Print
On July 31, 2009 the U.S. Food and Drug Administration granted approval for the use of bevacizumab (Avastin, Genentech, Inc.) in combination with interferon alfa for the treatment of patients with metastatic renal cell carcinoma. The approval was based on results from the BO17705 trial which demonstrated a 5 month improvement in median progression-free survival (PFS) in bevacizumab-treated patients.
The BO17705 trial was a randomized, double-blind, placebo-controlled, multinational, clinical trial conducted in patients with metastatic renal cell carcinoma who had undergone nephrectomy. The study compared the combination of bevacizumab plus interferon alfa-2a to interferon alfa-2a plus placebo. This trial was conducted by Hoffmann-La-Roche in Europe, Asia, and Australia. The primary outcome measure of the trial, assessed by study investigators, was PFS. The determination of PFS by an independent review committee, blinded to treatment assignment, supported the investigators’ PFS assessment.
A total of 649 patients (327 bevacizumab plus interferon, 322 interferon plus placebo) were enrolled. The median PFS was 10.2 months for the bevacizumab plus interferon arm compared to 5.4 months for the interferon and placebo arm [hazard ratio (HR) 0.60 (95% CI: 0.49, 0.72) p &lt; 0.0001]. The independent review committee analysis of 569 patients with radiographs available for review yielded similar results [median PFS 10.4 versus 5.5 months, HR 0.57 (95% CI: 0.45, 0.72)].
The BO17705 trial did not demonstrate a statistically significant advantage in overall survival for bevacizumab plus interferon arm compared to interferon plus placebo treatment [HR 0.86 (95% CI: 0.72, 1.04), p= 0.13].
Additional support for the results of the BO17705 trial was provided by the published results of the 90206 trial, a randomized, open label, study of bevacizumab plus interferon alfa-2b compared to interferon alfa-2b alone in patients with metastatic renal cell carcinoma. The Cancer and Leukemia Group B conducted this trial in North America. A similar prolongation in PFS was reported in the 90206 trial with a median PFS of 8.4 versus 4.9 months for the bevacizumab-containing combination and the single agent interferon alfa-2b arms, respectively. An improvement in overall survival was not observed.
In the BO17705 trial, the combination of bevacizumab plus interferon alfa-2a resulted in a higher overall incidence and more severe toxicities than observed with interferon alfa-2a alone. 
Serious adverse events were reported in 31% of patients on the bevacizumab plus interferon arm and in 19% of patients on the interferon plus placebo arm. NCI CTCAE grade 3 and greater adverse events were reported in 63% versus 47% of patients on the bevacizumab- plus interferon and interferon plus placebo arms, respectively. Grade 3 and greater adverse events attributable to bevacizumab (≥ 2% greater incidence in the bevacizumab plus interferon arm compared to the interferon plus placebo arm) included bleeding, hypertension, proteinuria, and venous or arterial thrombosis. Two patients with grade 5 bleeding events (ruptured aneurysm and hemoptysis), two patients with hypertensive encephalopathy, and four patients with grade 4 pulmonary embolism were reported in the bevacizumab plus interferon arm.
The most common bevacizumab-related toxicities were bleeding/hemorrhage, hypertension, proteinuria and venous or arterial thromboembolic events. Among the 20% of patients with reports of proteinuria, the median onset of proteinuria was 5.6 months (range 15 days to 37 months) after initiation of bevacizumab. The median time-to-resolution was 6.1 months. Proteinuria did not resolve in 40% of patients after a median follow-up of 11.2 months. Bevacizumab was permanently discontinued in 30% of the patients who developed proteinuria.
Full prescribing information, including clinical trial information, safety, dosing, drug-drug interactions and contraindications is available at http://www.accessdata.fda.gov/drugsatfda_docs/label/2009/125085s0168lbl.pdf
 </t>
  </si>
  <si>
    <t xml:space="preserve">ID_707</t>
  </si>
  <si>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</si>
  <si>
    <t xml:space="preserve">https://wayback.archive-it.org/7993/20170111231729/http%3A//www.fda.gov/AboutFDA/CentersOffices/OfficeofMedicalProductsandTobacco/CDER/ucm129212.htm</t>
  </si>
  <si>
    <t xml:space="preserve">Plerixafor
Share
Tweet
Linkedin
Pin it
More sharing options
Linkedin
Pin it
Email
Print
On December 15, 2008, the U. S. Food and Drug Administration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The efficacy and safety of plerixafor in combination with G-CSF in NHL and MM were evaluated in two placebo-controlled studies (Studies 1 and 2). Patients were randomized to receive either plerixafor 0.24 mg/kg or placebo each evening prior to apheresis. All patients received G-CSF 10 micrograms/kg daily for 4 days prior to the first dose of plerixafor or placebo and prior to apheresis. Results from 298 patients with NHL from study 1 and 302 patients with MM from study 2 were analyzed.
In Study 1, 59% of patients with NHL who were mobilized with plerixafor and G-CSF collected &gt; 5 X 106 CD34+ cells/kg from the peripheral blood in four or fewer apheresis sessions compared with 20% of patients who were mobilized with placebo and G-CSF (p &lt; 0.001). The median number of days to reach &gt; 5 x 106 CD34+ cells/kg was 3 days for the plerixafor group and not evaluable for the placebo group.
In Study 2, 72% of patients with MM who were mobilized with plerixafor and G-CSF collected &gt; 6 X 106 CD34+ cells/kg from the peripheral blood in two or fewer apheresis sessions compared with 34% of patients who were mobilized with placebo and G-CSF (p &lt;0.001). The median number of days to reach &gt; 6 x 106 CD34+ cells/kg was 1 day for the plerixafor group and 4 days for the placebo group.
Safety data for plerixafor in combination with G-CSF were obtained from 983 patients enrolled in 16 clinical studies (593 patients enrolled in randomized Studies 1 and 2 plus 410 patients enrolled in 14 additional non-randomized studies). Patients were primarily treated with plerixafor at daily doses of 0.24 mg/kg SC. Median exposure to plerixafor was 2 days (range 1 to 7 days). The most common adverse reactions (&gt; 10%) reported in patients who received plerixafor in conjunction with G-CSF that were more frequent than in patients who received placebo were diarrhea, nausea, fatigue, injection site reactions, headache, arthralgia, dizziness and vomiting. Prescribing physicians and patients should be aware of the potential for tumor cell mobilization in leukemia patients, increased circulating leukocytes and decreased platelet counts, splenic enlargement, and fetal harm when administered to pregnant women.
Full prescribing information, including clinical trial information, safety, dosing, drug-drug interactions and contraindications is available at Drugs@FDA 
Back to Top Back to Whatsnew
 PDF requires the free Adobe Acrobat Reader
Date created: December 19, 2008</t>
  </si>
  <si>
    <t xml:space="preserve">ID_716</t>
  </si>
  <si>
    <t xml:space="preserve">Bevacizumab (Avastin) was granted accelerated approval for use in combination with paclitaxel for the treatment of patients who have not received chemotherapy for metastatic HER2 negative breast cancer. More information (Feb. 22)</t>
  </si>
  <si>
    <t xml:space="preserve">https://wayback.archive-it.org/7993/20170111231729/http%3A//www.fda.gov/AboutFDA/CentersOffices/OfficeofMedicalProductsandTobacco/CDER/ucm129230.htm</t>
  </si>
  <si>
    <t xml:space="preserve">Bevacizumab Granted Accelerated Approval
Share
Tweet
Linkedin
Pin it
More sharing options
Linkedin
Pin it
Email
Print
On February 22, 2008, the U.S. Food and Drug Administration granted accelerated approval for bevacizumab (Avastin, Genentech, Inc.) to be used in combination with paclitaxel for the treatment of patients who have not received chemotherapy for metastatic HER2 negative breast cancer. 
The approval was based on the demonstration of an improvement in progression-free survival (PFS) in patients receiving Avastin with paclitaxel compared to those receiving paclitaxel alone as a first-line treatment for metastatic breast cancer. No data are currently available that demonstrate an improvement in disease-related symptoms or increased overall survival with Avastin in breast cancer.
The efficacy and safety of Avastin as first-line treatment of patients with metastatic breast cancer was studied in a single, open-label, randomized, multicenter study (Study 7 or E2100). Patients who had not received chemotherapy for locally recurrent or metastatic breast cancer were randomized to receive either paclitaxel (N=354 patients) alone at 90 mg/m2 weekly for 3 doses with one week rest (28-day cycle) or in combination with Avastin 10 mg/kg every 14 days (N=368 patients). Patients with HER2-overexpressing breast cancer were not eligible unless they had received prior therapy with Herceptin.
The addition of Avastin to paclitaxel resulted in an improvement in PFS with no significant improvement in overall survival. The median PFS was 11.3 months (95% CI 10.5,13.3) and 5.8 months (95% CI 5.4, 8.2) months for the Avastin plus paclitaxel arms versus the paclitaxel alone, respectively (p&lt;0.0001, HR 0.48, 95% CI 0.39, 0.61) Partial response rates in patients with measurable disease were higher with Avastin plus paclitaxel: 48.9% versus 22.2% (p&lt;0.001). No complete responses were observed.
The efficacy and safety of Avastin as a second and third line treatment of patients with metastatic breast cancer were studied in a single open-label randomized study (Study 8 or AVF2119). Patients who had received prior anthracycline and taxane therapy in the adjuvant setting or for their metastatic breast cancer were randomized to receive either capecitabine alone or in combination with Avastin. The study enrolled 462 patients. The study failed to demonstrate a statistically significant effect on PFS or overall survival. The product labeling specifies that Avastin is not indicated for patients with breast cancer that has progressed following anthracycline and taxane chemotherapy administered for metastatic disease. 
Data collection in Trial 7 was limited to NCI-CTC grade 3-5 non-hematologic and Grade 4-5 hematologic adverse events. A 20% increase in grade 3-5 adverse events was observed in the Avastin plus paclitaxel arm compared to paclitaxel alone. Severe and life-threatening adverse events occurring more frequently on the Avastin-containing arm included sensory neuropathy, hypertension, fatigue, infection without neutopenia, neutropenia, vomiting, diarrhea, bone pain, headache, proteinuria, and cerebrovascular ischemia. Fatal adverse reactions occurred in 6/363 (1.7%) of patients who received paclitaxel plus Avastin. Causes of death were gastrointestinal perforation (2 patients), myocardial infarction (2 patients), diarrhea/abdominal pain/weakness/hypotension (2 patients).
The most serious, and sometimes fatal, Avastin adverse events have been previously described in product labeling and include gastrointestinal perforation, wound healing complications, hemorrhage, arterial thromboembolic events, hypertensive crisis, nephrotic syndrome, congestive heart failure, and neutropenic sepsis. The most common Avastin adverse events previously described in product labeling include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Back to Top Back to What's New
 PDF requires the free Adobe Acrobat Reader
Date created: March 13, 2008</t>
  </si>
  <si>
    <t xml:space="preserve">ID_727</t>
  </si>
  <si>
    <t xml:space="preserve">Doxorubicin HCl liposome injection (Doxil) was approved for use in combination with bortezomib in patients with multiple myeloma. More information (May 17) </t>
  </si>
  <si>
    <t xml:space="preserve">https://wayback.archive-it.org/7993/20170111231729/http%3A//www.fda.gov/AboutFDA/CentersOffices/OfficeofMedicalProductsandTobacco/CDER/ucm129249.htm</t>
  </si>
  <si>
    <t xml:space="preserve">FDA Approves Doxorubicin HCl
Share
Tweet
Linkedin
Pin it
More sharing options
Linkedin
Pin it
Email
Print
On May 17, 2007, the U.S. Food and Drug Administration granted approval to doxorubicin HCl liposome injection (Doxil, Alza Corporation) for use in combination with bortezomib in patients with multiple myeloma who have not previously received bortezomib and have received at least one prior therapy.Efficacy and safety were demonstrated in a randomized, multi-center, international study comparing the combination of Doxil plus bortezomib versus bortezomib alone in patients with multiple myeloma who have not previously received bortezomib and had received at least one prior therapy. Doxil, 30 mg/m2, was administered as a one-hour intravenous infusion on day 4 following bortezomib, 1.3 mg/m2, administered on days 1, 4, 8 and 11 in both treatment arms every twenty-one days. Data were evaluated from 646 randomized patients. The primary endpoint of time-to-progression (TTP-defined as time from randomization to progression or to death due to progression) was evaluated in a pre-specified interim analysis. Median TTP was 9.3 months in the combination arm compared to 6.5 months with bortezomib alone (HR=0.55; 95% CI [0.43, 0.71]; p &lt; 0.0001). Survival data are immature at this time.Safety data were evaluated from 636 treated patients (318 in each treatment arm). Grade 3/4 reactions reported in greater than or equal to 10% of patients and in a greater proportion of patients treated with the combination of Doxil and bortezomib included neutropenia and thrombocytopenia. Additional all-grade reactions reported in greater frequency with the combination arm included anemia, fatigue, pyrexia, nausea, vomiting, diarrhea, mucositis/stomatitis and hand foot syndrome.The incidence of heart failure events was similar in the two treatment arms (3% in both groups). Left ventricular ejection fraction decreases were observed in 13% of patients in the combination arm and in 8% of patients treated with bortezomib alone.The initial rate of infusion of Doxil should be 1 mg/min to help minimize the risk of infusion reactions.Full prescribing information including clinical trial information, safety, dosing, drug-drug interactions and contraindications is available at Drugs @FDA.Healthcare professionals should report all serious adverse events suspected to be associated with the use of any medicine and device to FDA’s MedWatch Reporting Program via an online form, by faxing (1-800-FDA-0178) or mailing the postage-paid Form 3500 available at MedWatch, or by telephone (1-800-FDA-1088). 
Back to Top Back to OODP What's New
Created May 18, 2007</t>
  </si>
  <si>
    <t xml:space="preserve">ID_737</t>
  </si>
  <si>
    <t xml:space="preserve">On October 17, FDA approved docetaxel (Taxotere) for use in combination with cisplatin and fluorouracil for the induction treatment of patients with inoperable, locally advanced squamous cell carcinoma of the head and neck. More information </t>
  </si>
  <si>
    <t xml:space="preserve">https://wayback.archive-it.org/7993/20170111231729/http%3A//www.fda.gov/AboutFDA/CentersOffices/OfficeofMedicalProductsandTobacco/CDER/ucm094945.htm</t>
  </si>
  <si>
    <t xml:space="preserve">FDA approves Taxotere for use in combination with cisplatin and fluorouracil for the induction treatment of patients with inoperable, locally advanced squamous cell carcinoma of the head and neck
Share
Tweet
Linkedin
Pin it
More sharing options
Linkedin
Pin it
Email
Print
On October 17, 2006, the U. S. Food and Drug Administration (FDA) approved docetaxel (Taxotere Injection Concentrate, sanofi-aventis) for use in combination with cisplatin and fluorouracil for the induction treatment of patients with inoperable, locally advanced squamous cell carcinoma of the head and neck (SCCHN).
The safety and efficacy of Taxotere as induction chemotherapy for patients with SCCHN were evaluated in a multicenter, open-label, randomized trial. In this study 358 patients with previously untreated inoperable, locally advanced SCCHN, and WHO performance status 0 or 1, received either Taxotere 75 mg/m2 followed by cisplatin 75 mg/m2 on Day 1, followed by 5-fluorouracil 750 mg/m2/day as a continuous infusion on Days 1-5 (TPF) or cisplatin 100 mg/m2 on Day 1, followed by 5-fluorouracil 1000 mg/m2/day as a continuous infusion on Days 1-5 (PF). These regimens were administered every three weeks for 4 cycles. Four to 7 weeks after chemotherapy, patients whose disease had not progressed received radiotherapy. Radiation was delivered either with a conventional or an accelerated/hyperfractionated regimen. Surgical resection was allowed following chemotherapy, before or after radiotherapy.
The trial’s primary endpoint was progression-free-survival (PFS) and was defined as time from randomization to disease progression or death from any cause, whichever occurred first. Median PFS was significantly longer in the TPF arm (11.4 months) than in the PF arm (8.3 months), (p= 0.0077) [hazard ratio 0.71 (0.56, 0.91)]. Median overall survival was significantly longer in the TPF arm (18.6 months) than in the PF arm (14.2 months), [hazard ratio 0.71 (0.56, 0.90)]. 
The most frequent adverse events on the TPF arm were neutropenia (93%), anemia (89%), alopecia (81%), stomatitis/esophagitis (55%), and nausea (47%). Grade 3 or 4 adverse events with a greater than 5% frequency in patients on the TPF arm were neutropenia (76%), alopecia (11%), infection (9%), anemia (9%), weight loss (7%), and thrombocytopenia (5%). Approximately 5% of the TPF arm patients had febrile neutropenia and 14% had neutropenic infection. Compared to patients receiving PF, patients receiving TPF had more alopecia, neutropenia, diarrhea, neurosensory abnormality, neutropenic infection, fluid retention, and altered taste or sense of smell.
For this SCCHN indication, the recommended Taxotere dose is 75 mg/m2 administered as a 1-hour intravenous infusion, followed by cisplatin 75 mg/m2 intravenously over 1 hour on Day 1, followed by fluorouracil 750 mg/m2/day given as a 24-hour intravenous continuous infusion Days 1-5. Treatment is repeated every 3 weeks for 4 cycles.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PDF requires the free Adobe Acrobat Reader</t>
  </si>
  <si>
    <t xml:space="preserve">ID_738</t>
  </si>
  <si>
    <t xml:space="preserve">On October 11, FDA approved bevacizumab (Avastin) as a first-line treatment of patients with locally advanced, metastatic or recurrent non-small cell lung cancer in combination with platinum-based chemotherapy. More information </t>
  </si>
  <si>
    <t xml:space="preserve">https://wayback.archive-it.org/7993/20170111231729/http%3A//www.fda.gov/AboutFDA/CentersOffices/OfficeofMedicalProductsandTobacco/CDER/ucm094950.htm</t>
  </si>
  <si>
    <t xml:space="preserve">FDA approves bevacizumab (Avastin) as a first-line treatment of patients with locally advanced, metastatic or recurrent non-small cell lung cancer in combination with platinum-based chemotherapy
Share
Tweet
Linkedin
Pin it
More sharing options
Linkedin
Pin it
Email
Print
On October 11, 2006, the U.S. Food and Drug Administration granted approval for a labeling extension for bevacizumab (Avastin, Genentech, Inc.), administered in combination with carboplatin and paclitaxel, for the initial systemic treatment of patients with unresectable, locally advanced, recurrent, or metastatic, non-squamous, non-small cell lung cancer. This recommendation is based on the demonstration of a statistically significant improvement in overall survival (OS) in patients receiving Avastin with carboplatin and paclitaxel compared to those receiving carboplatin and paclitaxel alone.
The primary trial (E4599) supporting this approval was a randomized, active controlled, open label, multi-center clinical trial evaluating Avastin plus carboplatin and paclitaxel (n=434) versus carboplatin and paclitaxel alone (n=444). Patients with squamous histology, mixed cell tumors with predominant squamous cell histology, central nervous system metastases, gross hemoptysis (≥1/2 tsp red blood), or unstable angina and those receiving therapeutic anticoagulation were excluded from the trial. Patients with squamous cell histology were excluded based on four patients with life-threatening or fatal hemoptysis among 13 patients with squamous cell histology enrolled in a randomized, active-control, Phase 2 study (AVF0757g) who received chemotherapy with Avastin.
Among the 878 randomized patients, the median age was 63, 46% were female, no patients had received prior chemotherapy, 76% had Stage IV disease, 12% had Stage IIIB disease with malignant pleural effusion, 11% had recurrent disease, and 40% had an ECOG performance status of 0.
OS, the primary endpoint, was significantly longer in patients receiving Avastin in combination with paclitaxel and carboplatin as compared to those receiving paclitaxel and carboplatin alone (median OS 12.3 vs 10.3 mos; hazard ratio 0.80, p=0.013 stratified log rank test). Although a consistent effect was observed across most subgroups, in an exploratory analysis, evidence of a survival benefit was not observed in women. (HR 0.99; 95% CI 0.79, 1.25).
In E4599, data collection was limited to NCI-CTC grade 3-5 adverse events. Severe and life-threatening adverse events occurring more frequently in patients receiving Avastin and chemotherapy were neutropenia (27% vs 17%), fatigue (16% vs 13%), hypertension (8% vs 0.7%), infection without neutropenia (7% vs 3%), thrombosis/embolism (5% vs 3%), pneumonitis or pulmonary infiltrate (5% vs 3%), infection with grade 3 or 4 neutropenia (5% vs 2%), febrile neutropenia (5% vs 2%), hyponatremia (4% vs 1%), proteinuria (3% vs 0), and headache (3% vs 0.5%). Fatal, treatment-related adverse events in patients receiving Avastin were pulmonary hemorrhage (2.3% vs. 0.5%), gastrointestinal hemorrhage, CNS infarction, gastrointestinal perforation, myocardial infarction, and neutropenic sepsis.
The most serious, and sometimes fatal, Avastin toxicities are gastrointestinal perforation, wound healing complications, hemorrhage, arterial thromboembolic events, hypertensive crisis, nephrotic syndrome, congestive heart failure, and neutropenic sepsis. The most common adverse events in patients receiving Avastin are asthenia, pain, abdominal pain, headache, hypertension, diarrhea, nausea, vomiting, anorexia, stomatitis, constipation, upper respiratory infection, epistaxis, dyspnea, exfoliative dermatitis, and proteinuria.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or by using the Form 3500 </t>
  </si>
  <si>
    <t xml:space="preserve">ID_746</t>
  </si>
  <si>
    <t xml:space="preserve">On July 14, FDA approved gemcitabine (Gemzar) in combination with carboplatin for the treatment of patients with advanced ovarian cancer that has relapsed at least 6 months after completion of platinum based therapy. More information </t>
  </si>
  <si>
    <t xml:space="preserve">https://wayback.archive-it.org/7993/20170111231729/http%3A//www.fda.gov/AboutFDA/CentersOffices/OfficeofMedicalProductsandTobacco/CDER/ucm095615.htm</t>
  </si>
  <si>
    <t xml:space="preserve">FDA approves gemcitabine (Gemzar, Eli Lilly and Company)
Share
Tweet
Linkedin
Pin it
More sharing options
Linkedin
Pin it
Email
Print
On July 14, 2006, FDA approved gemcitabine (Gemzar, Eli Lilly and Company) in combination with carboplatin for the treatment of patients with advanced ovarian cancer that has relapsed at least 6 months after completion of platinum based therapy.
The approval was based on a single multicenter, international, open-label, randomized trial enrolling 356 ovarian cancer patients whose disease had relapsed at least 6 months after first-line platinum-based therapy. Patients were randomized to receive either gemcitabine 1000 mg/m2 on days 1 and 8 of a 21 day cycle plus carboplatin (AUC 4) administered on day 1 of each cycle (GC) or to receive carboplatin (AUC 5) administered on day 1 of each 21 day cycle (C).
One hundred seventy-eight patients received GC and 178 patients received C. Patients were comparable for age, baseline ECOG performance status, platinum-free interval, and first-line therapy regimen.
GC treatment resulted in a significant improvement in progression-free survival (PFS). Median PFS was 8.6 months for GC-treated patients and 5.8 months for C-treated patients [log rank p=0.0038; hazard ratio 0.72 (95%, C.I. 0.57, 0.90)]. A significant improvement in the investigator-assessed overall response rate was demonstrated for the addition of gemcitabine to carboplatin (47% versus 31%, p=0.0016), but not in the independently reviewed response rate that excluded sonography or physical exam findings (46% versus 36%, p=0.11).
Approximately 75% of patients in each arm received post-study chemotherapy, including 13 of 120 patients on the C treatment arm for whom post-progression chemotherapy drugs were known and who received gemcitabine after progression. No significant difference in overall survival was observed. The median survival was 18.0 months for GC-treated patients compared to 17.3 months for those receiving single-agent carboplatin [p=0.8977, hazard ratio 0.98 (95% C.I. 0.78, 1.24)].
Hematologic toxicity was the most frequent adverse event. Grade 4 (CTC) neutropenia, anemia and thrombocytopenia occurred in 29%, 6% and 5%, respectively, of patients receiving GC compared to 1%, 2%, and 1% of those receiving single-agent carboplatin. Red blood cell and platelet transfusions were more common in GC-treated patients. Grade 3 neurosensory toxicity was observed in 1% receiving GC and 2% of C-treated patients.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using the Form 3500 
PDF requires the free Adobe Acrobat Reader</t>
  </si>
  <si>
    <t xml:space="preserve">ID_747</t>
  </si>
  <si>
    <t xml:space="preserve">On June 29, FDA approved lenalidomide oral capsules (Revlimid), Celgene Corporation) for use in combination with dexamethasone in patients with multiple myeloma who have received one prior therapy. More information </t>
  </si>
  <si>
    <t xml:space="preserve">https://wayback.archive-it.org/7993/20170111231729/http%3A//www.fda.gov/AboutFDA/CentersOffices/OfficeofMedicalProductsandTobacco/CDER/ucm095626.htm</t>
  </si>
  <si>
    <t xml:space="preserve">FDA approves lenalidomide oral capsules (Revlimid) for use in combination with dexamethasone in patients with multiple myeloma
Share
Tweet
Linkedin
Pin it
More sharing options
Linkedin
Pin it
Email
Print
On June 29, 2006, the U.S. Food and Drug Administration granted approval to lenalidomide oral capsules (Revlimid, Celgene Corporation) for use in combination with dexamethasone in patients with multiple myeloma who have received one prior therapy. Revlimid is available under a special restricted distribution program, called RevAssist (described below).
Efficacy and safety were demonstrated in two randomized, double-blind, multi-center, multi-national, placebo-controlled studies comparing the combination of lenalidomide plus oral pulse dexamethasone versus dexamethasone alone in patients with multiple myeloma who had received at least one prior therapy. Revlimid (lenalidomide) was administered at a starting dose of 25 mg/day orally as a single 25 mg capsule on days 1‑21 of repeated 28-day cycles. Dexamethasone was administered orally at a dose of 40 mg/day on days 1‑4, 9‑12, and 17‑20 of each 28‑day cycle for the first 4 cycles and then 40 mg/day orally on days 1‑4 every 28 days in both treatment arms of both studies.
Data were evaluated from 692 patients in the two studies, 341 patients in Study 1 and 351 patients in Study 2. The primary endpoint of time-to-progression (TTP) was evaluated in a pre-specified interim analysis in each study. In Study 1, median TTP was 37.1 weeks in the lenalidomide/dexamethasone arm compared to 19.9 weeks with dexamethasone alone (HR=0.356; 95% CI [0.257, 0.494]; p &lt; 0.0001). In Study 2, median TTP was not reached in the lenalidomide/dexamethasone arm compared to 20 weeks in the dexamethasone alone arm (HR=0.392; 95% CI [0.274, 0.562]; p &lt; 0.0001).
Safety data were evaluated from 691 patients in the two studies. Grade 3 and 4 neutropenia, thrombocytopenia, leukopenia, lymphopenia, febrile neutropenia, deep vein thrombosis, pulmonary embolism, atrial fibrillation, constipation, diarrhea, fatigue, pneumonia, hypokalemia, hypocalcemia, muscle weakness, neuropathy and depression were reported in a greater proportion of patients treated with the combination of lenalidomide and dexamethasone compared to dexamethasone alone.
Thrombotic or thromboembolic events, including deep vein thrombosis, pulmonary embolism, thrombosis, and intracranial venous sinus thrombosis were reported more frequently in patients treated with the combination of lenalidomide plus dexamethasone (12%) compared to dexamethasone alone (4%) in the pooled analyses. Patients and physicians are advised to be observant for the signs and symptoms of thromboembolism. It is unknown whether prophylactic anticoagulation or antiplatelet therapy prescribed in conjunction with lenalidomide may reduce the potential for venous thromboembolic events. The decision to prescribe prophylactic measures should be considered carefully after an assessment of an individual patient's underlying risk factors.
Patients with renal impairment were excluded from the studies. Because lenalidomide is primarily excreted by the kidney, renal function should be carefully monitored.
Females should be advised to avoid pregnancy while taking lenalidomide. Lenalidomide is an analogue of thalidomide, a known human teratogen that causes severe life-threatening human birth defects. Reproductive toxicity studies are ongoing to assess lenalidomide's potential teratogenicity. To avoid fetal exposure, lenalidomide is only available under a special restricted distribution program called RevAssist. Under this program, only prescribers and pharmacists registered with the program can prescribe and dispense the product. Patients enrolled in the program to receive the drug must agree to comply with the requirements of the RevAssist program. 
Full prescribing information including clinical trial information, safety, dosing, drug-drug interactions and contraindications is available in Drugs@FDA
Healthcare professionals should report all serious adverse events suspected to be associated with the use of any medicine and device to FDA's MedWatch Reporting System by phone at 1-800-FDA-1088; by facsimile 1-800-FDA-0178 by mail using the Form 3500 
 </t>
  </si>
  <si>
    <t xml:space="preserve">ID_750</t>
  </si>
  <si>
    <t xml:space="preserve">On June 14, FDA approved topotecan hydrochloride (Hycamtin) in combination with cisplatin for the treatment of Stage IVB recurrent or persistent carcinoma of the cervix. More information </t>
  </si>
  <si>
    <t xml:space="preserve">https://wayback.archive-it.org/7993/20170111231729/http%3A//www.fda.gov/AboutFDA/CentersOffices/OfficeofMedicalProductsandTobacco/CDER/ucm095638.htm</t>
  </si>
  <si>
    <t xml:space="preserve">FDA approves topotecan hydrochloride (hycamtin) in combination with cisplatin for the treatment of Stage IVB recurrent or persistent carcinoma of the cervix
Share
Tweet
Linkedin
Pin it
More sharing options
Linkedin
Pin it
Email
Print
On June 14, 2006, the U.S. Food and Drug Administration approved topotecan hydrochloride (Hycamtin, GlaxoSmithKline) in combination with cisplatin for the treatment of Stage IVB recurrent or persistent carcinoma of the cervix that is not amenable to curative treatment with surgery and/or radiation therapy.
Topotecan was evaluated in women with stage IVB recurrent or persistent cervical cancer in one open-label, multi-center, cooperative group trial. Two hundred ninety-three patients were randomized to six cycles of topotecan 0.75 mg/m2 IV over 30 minutes for three consecutive days (Days 1-3) plus cisplatin 50 mg/m2 IV over 1 hour on Day 1 every 21 days or to cisplatin alone at the same dose and schedule. The primary endpoint was overall survival. The median survival was 9.4 months in the topotecan plus cisplatin group and 6.5 months in the cisplatin group (log-rank p = 0.033). The unadjusted hazard ratio was 0.76 (95% CI: 0.59, 0.98).
The most common toxicity on the combination arm was myelosuppression. Grade 3-4 hematologic adverse events occurring more commonly in the combination arm included neutropenia (74% vs. 2%), anemia (40% vs. 22%), thrombocytopenia (33% vs. 3%), and febrile neutropenia (18% vs. 8%). Grade 3-4 non-hematologic adverse events reported more commonly in the combination treatment arm included pain, nausea and vomiting, metabolic-laboratory, and hepatic.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 </t>
  </si>
  <si>
    <t xml:space="preserve">ID_753</t>
  </si>
  <si>
    <t xml:space="preserve">On May 26, FDA granted accelerated approval for thalidomide (Thalomid) in combination with dexamethasone for the treatment of newly diagnosed multiple myeloma (MM) patients. More Information </t>
  </si>
  <si>
    <t xml:space="preserve">https://wayback.archive-it.org/7993/20170111231729/http%3A//www.fda.gov/AboutFDA/CentersOffices/OfficeofMedicalProductsandTobacco/CDER/ucm095651.htm</t>
  </si>
  <si>
    <t xml:space="preserve">FDA Approves Thalomid (thalidomide) to Treat Multiple Myeloma
Share
Tweet
Linkedin
Pin it
More sharing options
Linkedin
Pin it
Email
Print
On May 26, 2006, the U.S. Food and Drug Administration granted accelerated approval for thalidomide (Thalomid, Celgene Corporation) in combination with dexamethasone for the treatment of newly diagnosed multiple myeloma (MM) patients. Because of thalidomide’s known teratogenicity, the FDA is controlling Thalidomide’s marketing in the United States via the System for Thalidomide Education and Prescribing Safety (S.T.E.P.S.) program. This mandatory registry includes authorized patients, prescribers and pharmacies, extensive patient education regarding thalidomide’s safety, and is designed to prevent fetal exposure to thalidomide during pregnancy.
Thalidomide was evaluated in 207 patients with newly diagnosed MM in one open-label, multi-center, cooperative group trial. Patients were randomized to 4 cycles of thalidomide 200 mg daily plus dexamethasone (Thal/Dex) or to dexamethasone (Dex) alone. Response rates based on serum or urine paraprotein measurements were significantly higher in the combination arm than Dex alone (51.5% vs. 35.6%, respectively, p = 0.025). After completing treatment, patients were encouraged to undergo stem cell transplantation.
The incidence of grade 3 or 4 adverse events was 84.3% on the Thal/Dex arm and 73.5% on the Dex alone arm. The most common toxicities associated with thalidomide were somnolence, constipation, neuropathy, venous thromboembolism (VTE), and rash.
The incidence of VTE was significantly higher in the Thal/Dex arm than with Dex alone (22.5% vs. 4.9%, respectively, p = 0.002). Prophylactic antithrombotic therapy prescribed with thalidomide may reduce VTE; however, the decision to prescribe antithrombotic therapy should be made after a careful assessment of the patient’s underlying risk factors.
This approval is based on objective response rates and is approved under accelerated approval regulations (Subpart H) requiring further clinical trials to demonstrate thalidomide’s clinical benefit in the treatment of multiple myeloma.
Full prescribing information, including clinical trial information, safety, dosing, drug-drug interactions and contraindications is available at Drugs@FDA.
 </t>
  </si>
  <si>
    <t xml:space="preserve">ID_757</t>
  </si>
  <si>
    <t xml:space="preserve">On February 10, FDA granted approval to rituximab (Rituxan) for use in the first‑line treatment of patients with diffuse large B-cell, CD20‑positive, non-Hodgkin's lymphoma in combination with CHOP or other anthracycline‑based chemotherapy regimens. More information </t>
  </si>
  <si>
    <t xml:space="preserve">https://wayback.archive-it.org/7993/20170111231729/http%3A//www.fda.gov/AboutFDA/CentersOffices/OfficeofMedicalProductsandTobacco/CDER/ucm095666.htm</t>
  </si>
  <si>
    <t xml:space="preserve">FDA approves rituximab (Rituxan) for use in the first‑line treatment of patients with diffuse large B-cell, CD20‑positive, non-Hodgkin's lymphoma in combination with CHOP or other anthracycline‑based chemotherapy regimens
Share
Tweet
Linkedin
Pin it
More sharing options
Linkedin
Pin it
Email
Print
On February 10, 2006, the U.S. Food and Drug Administration granted approval to rituximab (Rituxan, Genentech and Biogen-Idec) for use in the first‑line treatment of patients with diffuse large B-cell, CD20‑positive, non-Hodgkin's lymphoma in combination with CHOP or other anthracycline‑based chemotherapy regimens.
Safety and efficacy were demonstrated in three randomized, active-controlled, open-label, multicenter studies with a collective enrollment of 1854 patients. These trials enrolled primarily patients with diffuse large B-cell lymphoma who had not received prior therapy. Two of the three studies (E4494 and LNH 98-5/GELA) were restricted to patients 60 years of age or greater, while the third (M39045/MiNT) enrolled patients between ages 18 and 60 years. In E4494 and LNH98-5, the majority of patients had Stage 3-4 disease, while the majority had stage 1-2 disease in M39045. Patients received rituximab 375 mg/m2 by differing schedules in combination with cyclophosphamide, doxorubicin, vincristine and prednisone (CHOP) or other anthracycline‑based chemotherapy regimens (R-CHEMO). Each study utilized composite time-to-event endpoints, incorporating disease progression events as the main outcome measure and included overall survival among secondary analyses. Determination of the primary endpoint was based upon investigator-assessment.
In each study, hazard ratios for the main outcome measures favored the rituximab-containing arms. In addition, each study showed an overall survival benefit among patients receiving rituximab. With two years of follow-up, more patients were alive by Kaplan-Meier estimates in the rituximab-containing versus control arms for each study as follows: 74% vs. 63%, 69% vs. 58%, and 95% vs. 86%. In one of the studies, 5-year data were available and demonstrated that the survival advantage persisted with estimated 5-year survival rates of 58% vs. 46% for R-CHOP and CHOP, respectively. Results were generally consistent across subgroups, including age, gender and disease prognostic variables. There was neither additional improvement in progression-free survival nor overall survival for patients in E4494 receiving R-CHOP who were subsequently randomized to additional rituximab after achieving a complete or partial response as compared to those who received R-CHOP alone.
In all three studies, the dose intensity for rituximab in the R-CHOP and R-CHEMO induction arms was high and rituximab treatment was not associated with a reduction in the dose intensities of individual chemotherapy components. Adverse events associated with rituximab were generally consistent with the labeled adverse reactions described for single-agent rituximab. Grade 3/ 4 adverse events occurring with ≥ 2% excess in the rituximab arm in at least one study included infection, thrombocytopenia and lung toxicity/dyspnea. The following serious adverse reactions, some with fatal outcomes, have been reported in patients receiving rituximab: severe or fatal infusion reactions, tumor lysis syndrome, severe mucocutaneous reactions, hepatitis B reactivation with fulminant hepatitis, other viral infections, hypersensitivity reactions, cardiac arrhythmias, renal toxicity, and bowel obstruction and perforation.
Full prescribing information, including clinical trial information, safety, dosing, drug-drug interactions and contraindications is available at Drugs@FDA 
Healthcare professionals should report all serious adverse events suspected to be associated with the use of any medicine and device to FDA's MedWatch Reporting System by phone at 1-800-FDA-1088; by facsimile 1-800-FDA-0178 by mail using the Form 3500</t>
  </si>
  <si>
    <t xml:space="preserve">ID_761</t>
  </si>
  <si>
    <t xml:space="preserve">AA_VerifiedBenefit</t>
  </si>
  <si>
    <t xml:space="preserve">Darzalex Faspro (daratumumab and hyaluronidase-fihj) Treatment of patients with light chain (AL) amyloidosis in combination with bortezomib, cyclophosphamide and dexamethasone in newly diagnosed patients</t>
  </si>
  <si>
    <t xml:space="preserve">Darzalex Faspro (daratumumab and hyaluronidase-fihj)</t>
  </si>
  <si>
    <t xml:space="preserve">Treatment of patients with light chain (AL) amyloidosis in combination with bortezomib, cyclophosphamide and dexamethasone in newly diagnosed patients</t>
  </si>
  <si>
    <t xml:space="preserve">1/15/2021</t>
  </si>
  <si>
    <t xml:space="preserve">11/19/2025</t>
  </si>
  <si>
    <t xml:space="preserve">ID_764</t>
  </si>
  <si>
    <t xml:space="preserve">Yervoy (ipilimumab) In combination with nivolumab, for the treatment of patients with hepatocellular carcinoma (HCC) who have been previously treated with sorafenib</t>
  </si>
  <si>
    <t xml:space="preserve">Yervoy (ipilimumab)</t>
  </si>
  <si>
    <t xml:space="preserve">In combination with nivolumab, for the treatment of patients with hepatocellular carcinoma (HCC) who have been previously treated with sorafenib</t>
  </si>
  <si>
    <t xml:space="preserve">3/10/2020</t>
  </si>
  <si>
    <t xml:space="preserve">4/11/2025</t>
  </si>
  <si>
    <t xml:space="preserve">ID_765</t>
  </si>
  <si>
    <t xml:space="preserve">Opdivo (nivolumab) In combination with ipilimumab, for the treatment of patients with hepatocellular carcinoma (HCC) who have been previously treated with sorafenib</t>
  </si>
  <si>
    <t xml:space="preserve">Opdivo (nivolumab)</t>
  </si>
  <si>
    <t xml:space="preserve">In combination with ipilimumab, for the treatment of patients with hepatocellular carcinoma (HCC) who have been previously treated with sorafenib</t>
  </si>
  <si>
    <t xml:space="preserve">ID_768</t>
  </si>
  <si>
    <t xml:space="preserve">https://www.fda.gov/drugs/resources-information-approved-drugs/fda-grants-accelerated-approval-ipilimumab-msi-h-or-dmmr-metastatic-colorectal-cancer</t>
  </si>
  <si>
    <t xml:space="preserve">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</si>
  <si>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</si>
  <si>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7/10/2018</t>
  </si>
  <si>
    <t xml:space="preserve">4/08/2025</t>
  </si>
  <si>
    <t xml:space="preserve">FDA grants accelerated approval to ipilimumab for MSI-H or dMMR metastatic colorectal cancer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10, 2018, the Food and Drug Administration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This new use has also been added to the OPDIVO (nivolumab) labeling. Nivolumab received accelerated approval for this indication as a single agent on July 31, 2017.
The approvals were based on data from Study CA209142 (CHECKMATE 142; NCT02060188), a multicenter, non-randomized, multiple parallel-cohort, open-label study that enrolled 82 patients with dMMR or MSI-H mCRC with disease progression during or following fluoropyrimidine-, oxaliplatin-, and irinotecan-based chemotherapy. Assessment of dMMR or MSI-H tumor status was determined by local laboratories. All patients received ipilimumab 1 mg/kg by intravenous (IV) infusion and nivolumab 3 mg/kg IV every 3 weeks for 4 doses, followed by nivolumab 3 mg/kg IV as a single agent every 2 weeks, until unacceptable toxicity or radiographic progression. 
Among these 82 patients, the overall response rate (ORR) as assessed by an independent radiographic review committee using RECIST 1.1 was 46% (95% CI: 35,58), with 3 complete and 35 partial responses, and 89% of responding patients had response durations of ≥ 6 months. The ORR was higher than that observed in a separate cohort of 58 patients with dMMR/MSI-H mCRC with disease progression on or following fluoropyrimidine-, oxaliplatin-, and irinotecan-based chemotherapy who received nivolumab alone, with an ORR of 28% with 67% having response durations of ≥ 6 months.
The most common adverse reactions (≥20%) in those receiving ipilimumab and nivolumab are fatigue, diarrhea, pyrexia, musculoskeletal pain, abdominal pain, pruritus, nausea, rash, dyspnea, decreased appetite, and vomiting.
The recommended dosage regimen for this indication is nivolumab 3 mg/kg IV followed by ipilimumab 1 mg/kg every 3 weeks for 4 doses, then nivolumab 240 mg every 2 weeks.
Efficacy for adolescent patients (12 years and older) with MSI-H or dMMR metastatic CRC is extrapolated from the results in the respective adult population.
View full prescribing information for YERVOY.
View full prescribing information for OPDIVO.
FDA granted ipilimumab and nivolumab breakthrough therapy designations for this indication and granted priority review to these applications. As a condition of accelerated approval, further studies are required to confirm clinical benefit of ipilimumab and nivolumab for this indication.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Content current as of:
07/11/2018</t>
  </si>
  <si>
    <t xml:space="preserve">ID_769</t>
  </si>
  <si>
    <t xml:space="preserve">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</si>
  <si>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</si>
  <si>
    <t xml:space="preserve">ID_770</t>
  </si>
  <si>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</si>
  <si>
    <t xml:space="preserve">Keytruda (pembrolizumab)</t>
  </si>
  <si>
    <t xml:space="preserve">In combination with trastuzumab and fluoropyrimidine- and platinum-containing chemotherapy, for the first-line treatment of patients with locally advanced unresectable or metastatic HER2 positive gastric or gastroesophageal junction (GEJ) adenocarcinoma 1 </t>
  </si>
  <si>
    <t xml:space="preserve">5/5/2021</t>
  </si>
  <si>
    <t xml:space="preserve">3/19/2025</t>
  </si>
  <si>
    <t xml:space="preserve">ID_780</t>
  </si>
  <si>
    <t xml:space="preserve">Padcev (enfortumab vedotin-efjv) In combination with pembrolizumab for the treatment of adult patients with locally advanced or metastatic urothelial cancer who are not eligible for cisplatin-containing chemotherapy</t>
  </si>
  <si>
    <t xml:space="preserve">Padcev (enfortumab vedotin-efjv)</t>
  </si>
  <si>
    <t xml:space="preserve">In combination with pembrolizumab for the treatment of adult patients with locally advanced or metastatic urothelial cancer who are not eligible for cisplatin-containing chemotherapy</t>
  </si>
  <si>
    <t xml:space="preserve">4/3/2023</t>
  </si>
  <si>
    <t xml:space="preserve">12/15/2023</t>
  </si>
  <si>
    <t xml:space="preserve">ID_781</t>
  </si>
  <si>
    <t xml:space="preserve">Keytruda (pembrolizumab) In combination with enfortumab vedotin-ejfv for the treatment of adult patients with locally advanced or metastatic urothelial cancer who are not eligible for cisplatin-containing chemotherapy</t>
  </si>
  <si>
    <t xml:space="preserve">In combination with enfortumab vedotin-ejfv for the treatment of adult patients with locally advanced or metastatic urothelial cancer who are not eligible for cisplatin-containing chemotherapy</t>
  </si>
  <si>
    <t xml:space="preserve">ID_787</t>
  </si>
  <si>
    <t xml:space="preserve">https://www.fda.gov/drugs/resources-information-approved-drugs/fda-approves-polatuzumab-vedotin-piiq-diffuse-large-b-cell-lymphoma</t>
  </si>
  <si>
    <t xml:space="preserve">Polivy (polatuzumab vedotin- piiq) In combination with bendamustine and a rituximab product for adult patients with relapsed or refractory diffuse large B-cell lymphoma (DLBCL), not otherwise specified, after at least two prior therapies.</t>
  </si>
  <si>
    <t xml:space="preserve">Polivy (polatuzumab vedotin- piiq)</t>
  </si>
  <si>
    <t xml:space="preserve">In combination with bendamustine and a rituximab product for adult patients with relapsed or refractory diffuse large B-cell lymphoma (DLBCL), not otherwise specified, after at least two prior therapies.</t>
  </si>
  <si>
    <t xml:space="preserve">6/10/2019</t>
  </si>
  <si>
    <t xml:space="preserve">4/19/2023</t>
  </si>
  <si>
    <t xml:space="preserve">FDA approves polatuzumab vedotin-piiq for diffuse large B-cell lymphoma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June 10, 2019, the Food and Drug Administration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Approval was based on Study GO29365 (NCT02257567), an open-label, multicenter clinical trial that included a cohort of 80 patients with relapsed or refractory DLBCL after at least one prior regimen. Patients were randomized (1:1) to receive either polatuzumab vedotin-piiq in combination with bendamustine and a rituximab product (P+BR) or BR for six 21-day cycles. Polatuzumab vedotin-piiq, 1.8 mg/kg by intravenous infusion, was given on day 2 of cycle 1 and on day 1 of subsequent cycles. Bendamustine (90 mg/m2 intravenously) was administered on days 2 and 3 of cycle 1 and on days 1 and 2 of subsequent cycles. A rituximab product (375 mg/m2 intravenously) was administered on day 1 of each cycle. 
Efficacy was based on complete response (CR) rate and response duration, as determined by an independent review committee. At the end of therapy, the CR rate was 40% (95% CI: 25-57%) with P+BR compared with 18% (95% CI: 7-33%) with BR alone. The best overall response rate (complete and partial responses) was 63% with P+BR compared with 25% with BR. Of the 25 patients who achieved partial or complete response to P+BR, 16 (64%) had response durations of at least six months and 12 (48%) had response durations of at least 12 months.
The most common adverse reactions with P+BR (incidence at least 20%) included neutropenia, thrombocytopenia, anemia, peripheral neuropathy, fatigue, diarrhea, pyrexia, decreased appetite, and pneumonia. Serious adverse reactions occurred in 64%, most often from infection. Cytopenias were the most common reason for treatment discontinuation (18% of all patients).
The prescribing information includes warnings and precautions for peripheral neuropathy, infusion-related reactions, myelosuppression, serious and opportunistic infections, progressive multifocal leukoencephalopathy, tumor lysis syndrome, hepatotoxicity, and embryo-fetal toxicity.
The recommended dose of polatuzumab vedotin-piiq is 1.8 mg/kg as an intravenous infusion over 90 minutes every 21 days for 6 cycles in combination with bendamustine and a rituximab product. Subsequent infusions may be administered over 30 minutes if the previous infusion is tolerated. Premedicate with an antihistamine and antipyretic, and administer prophylaxis for Pneumocystis jiroveci pneumonia and herpesvirus.
View full prescribing information for POLIVY.
This indication was granted accelerated approval based on complete response rate. Continued approval for this indication may be contingent upon verification and description of clinical benefit in a confirmatory trial. FDA granted this application priority review, breakthrough therapy, and orphan drug designations.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06/10/2019
Regulated Product(s)
Drugs</t>
  </si>
  <si>
    <t xml:space="preserve">ID_795</t>
  </si>
  <si>
    <t xml:space="preserve">Keytruda (pembrolizumab) In combination with chemotherapy for locally recurrent unresectable or metastatic TNBC expressing PD L1 [CPS =10] as determined by an FDA-approved test</t>
  </si>
  <si>
    <t xml:space="preserve">In combination with chemotherapy for locally recurrent unresectable or metastatic TNBC expressing PD L1 [CPS =10] as determined by an FDA-approved test</t>
  </si>
  <si>
    <t xml:space="preserve">11/13/2020</t>
  </si>
  <si>
    <t xml:space="preserve">7/26/2021</t>
  </si>
  <si>
    <t xml:space="preserve">ID_798</t>
  </si>
  <si>
    <t xml:space="preserve">https://www.fda.gov/drugs/resources-information-approved-drugs/simultaneous-review-decisions-pembrolizumab-plus-lenvatinib-australia-canada-and-us</t>
  </si>
  <si>
    <t xml:space="preserve">Keytruda (pembrolizumab) In combination with lenvatinib for advanced endometrial carcinoma not MSI-H or dMMR, with progression following systemic therapy and not candidates for curative surgery or radiation</t>
  </si>
  <si>
    <t xml:space="preserve">In combination with lenvatinib for advanced endometrial carcinoma not MSI-H or dMMR, with progression following systemic therapy and not candidates for curative surgery or radiation</t>
  </si>
  <si>
    <t xml:space="preserve">9/17/2019</t>
  </si>
  <si>
    <t xml:space="preserve">7/21/2021</t>
  </si>
  <si>
    <t xml:space="preserve">Simultaneous review decisions for pembrolizumab plus lenvatinib in Australia, Canada and US
Resources for Information | Approved Drugs
Oncology (Cancer)/Hematologic Malignancies Approval Notifications
Ongoing | Cancer Accelerated Approvals
Verified Clinical Benefit | Cancer Accelerated Approvals
Withdrawn | Cancer Accelerated Approvals
Other | Cancer Accelerated Approvals
On September 17, 2019, the Food and Drug Administration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This review was conducted under Project Orbis, an initiative of the FDA Oncology Center of Excellence. Project Orbis provides a framework for concurrent submission and review of oncology drugs among international partners. The FDA, the Australian Therapeutic Goods Administration, and Health Canada collaborated on this review, allowing for simultaneous decisions in all three countries.
Efficacy was investigated in Study 111/KEYNOTE-146 (NCT02501096), a single-arm, multicenter, open-label, multi-cohort trial that enrolled 108 patients with metastatic endometrial carcinoma that had progressed following at least one prior systemic therapy in any setting. Patients were treated with lenvatinib 20 mg orally once daily in combination with pembrolizumab 200 mg administered intravenously every 3 weeks until unacceptable toxicity or disease progression. Among the 108 patients, 94 had tumors that were not MSI-H or dMMR, 11 had tumors that were MSI-H or dMMR, and in 3 patients the tumor MSI-H or dMMR status was not known. Tumor MSI status was determined using a polymerase chain reaction test. Tumor MMR status was determined using an immunohistochemistry test.
The major efficacy outcome measures were objective response rate (ORR) and duration of response (DOR) by independent radiologic review committee using RECIST 1.1. The ORR in the 94 patients whose tumors were not MSI-H or dMMR was 38.3% (95% CI: 29%, 49%) with 10 complete responses (10.6%) and 26 partial responses (27.7%). Median DOR was not reached at the time of data cutoff and 25 patients (69% of responders) had response durations ≥6 months.
In endometrial carcinoma, the most common adverse reactions (incidence ≥20%) for lenvatinib and pembrolizumab were fatigue, hypertension, musculoskeletal pain, diarrhea, decreased appetite, hypothyroidism, nausea, stomatitis, vomiting, decreased weight, abdominal pain, headache, constipation, urinary tract infection, dysphonia, hemorrhagic events, hypomagnesemia, palmar-plantar erythrodysesthesia, dyspnea, cough, and rash.
For endometrial carcinoma, the recommended dose is lenvatinib 20 mg orally once daily with pembrolizumab 200 mg administered as an intravenous infusion over 30 minutes every 3 weeks.
View full prescribing information:
LENVIMA
KEYTRUDA
This review used the OCE’s Real-Time Oncology Review (RTOR) pilot program and its accompanying Assessment Aid, and the combination of pembrolizumab plus lenvatinib was approved three months prior to its FDA goal date.
This indication is approved under FDA’s accelerated approval pathway. FDA granted this application priority review and Breakthrough Therapy designation.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Check out recent approvals at the OCE’s podcast, Drug Information Soundcast in Clinical Oncology (D.I.S.C.O.)
For assistance with single-patient INDs for investigational oncology products, healthcare professionals may contact OCE’s Project Facilitate at 240-402-0004 or email OncProjectFacilitate@fda.hhs.gov.
Follow the Oncology Center of Excellence on Twitter @FDAOncology.
Content current as of:
09/17/2019
Regulated Product(s)
Drugs</t>
  </si>
  <si>
    <t xml:space="preserve">ID_799</t>
  </si>
  <si>
    <t xml:space="preserve">Lenvima (lenvatinib) In combination with pembrolizumab for advanced endometrial carcinoma not MSI-H or dMMR, with progression following systemic therapy and not candidates for curative surgery or radiation</t>
  </si>
  <si>
    <t xml:space="preserve">Lenvima (lenvatinib)</t>
  </si>
  <si>
    <t xml:space="preserve">In combination with pembrolizumab for advanced endometrial carcinoma not MSI-H or dMMR, with progression following systemic therapy and not candidates for curative surgery or radiation</t>
  </si>
  <si>
    <t xml:space="preserve">ID_800</t>
  </si>
  <si>
    <t xml:space="preserve">https://www.fda.gov/drugs/resources-information-approved-drugs/fda-grants-accelerated-approval-selinexor-multiple-myeloma</t>
  </si>
  <si>
    <t xml:space="preserve">Xpovio (selinexor) In combination with dexamethasone for adults with relapsed/refractory multiple myeloma after at least 4 prior therapies and refractory to at least 2 proteasome inhibitors, 2 immunomodulatory agents, and an anti-CD38 monoclonal antibody</t>
  </si>
  <si>
    <t xml:space="preserve">Xpovio (selinexor)</t>
  </si>
  <si>
    <t xml:space="preserve">In combination with dexamethasone for adults with relapsed/refractory multiple myeloma after at least 4 prior therapies and refractory to at least 2 proteasome inhibitors, 2 immunomodulatory agents, and an anti-CD38 monoclonal antibody</t>
  </si>
  <si>
    <t xml:space="preserve">7/3/2019</t>
  </si>
  <si>
    <t xml:space="preserve">12/18/2020</t>
  </si>
  <si>
    <t xml:space="preserve">FDA grants accelerated approval to selinexor for multiple myeloma
Resources for Information | Approved Drugs
Oncology (Cancer)/Hematologic Malignancies Approval Notifications
Ongoing | Cancer Accelerated Approvals
Verified Clinical Benefit | Cancer Accelerated Approvals
Withdrawn | Cancer Accelerated Approvals
Other | Cancer Accelerated Approvals
On July 3, 2019, the Food and Drug Administration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Efficacy was evaluated in 122 patients enrolled in Part 2 of STORM (KCP-330-012; NCT02336815), a multicenter, single-arm, open-label study of patients with RRMM who had previously received three or more anti-myeloma treatment regimens including an alkylating agent, glucocorticoids, bortezomib, carfilzomib, lenalidomide, pomalidomide, and an anti-CD38 monoclonal antibody. In addition, the disease was refractory to glucocorticoids, a proteasome inhibitor, an immunomodulatory agent, an anti-CD38 monoclonal antibody, and to the last line of therapy. These patients were treated with selinexor (80 mg) in combination with dexamethasone (20 mg) on days 1 and 3 of every week.
The approval was based on efficacy and safety in a prespecified subgroup analysis of 83 patients whose disease was refractory to bortezomib, carfilzomib, lenalidomide, pomalidomide, and daratumumab. The overall response rate was 25.3% (95% CI: 16.4, 36), with 1 stringent complete responses (CR), no CR, 4 very good partial responses and 16 partial responses. The median time to first response was 4 weeks (range: 1 to 10 weeks). The median response duration was 3.8 months (95% CI: 2.3, not estimable). The efficacy evaluation was supported by additional information from an ongoing, randomized trial in patients with multiple myeloma.
Common adverse reactions reported in at least 20% of patients include thrombocytopenia, fatigue, nausea, anemia, decreased appetite, decreased weight, diarrhea, vomiting, hyponatremia, neutropenia, leukopenia, constipation, dyspnea, and upper respiratory tract infection.
The recommended selinexor dose is 80 mg in combination with dexamethasone taken orally on days 1 and 3 of each week.
View full prescribing information for XPOVIO.
As a condition of accelerated approval, further clinical trials may be required to verify and describe selinexor’s benefit. FDA granted this application fast track designation and orphan drug designation. A description of FDA expedited programs is in the Guidance for Industry: Expedited Programs for Serious Conditions-Drugs and Biologics.
Project Facilitate: The Oncology Center of Excellence program for Expanded Access—For assistance with single-patient INDs for investigational oncology products, healthcare professionals may contact OCE’s Project Facilitate at 240-402-0004 or email OncProjectFacilitate@fda.hhs.gov.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07/03/2019
Regulated Product(s)
Drugs</t>
  </si>
  <si>
    <t xml:space="preserve">ID_801</t>
  </si>
  <si>
    <t xml:space="preserve">https://www.fda.gov/drugs/fda-approves-venetoclax-combination-aml-adults</t>
  </si>
  <si>
    <t xml:space="preserve">Venclexta (venetoclax) In combination with azacitidine or decitabine or low-dose cytarabine for newly-diagnosed AML in adults 75 years or older, or who have comorbidities that preclude use of intensive induction chemotherapy</t>
  </si>
  <si>
    <t xml:space="preserve">Venclexta (venetoclax)</t>
  </si>
  <si>
    <t xml:space="preserve">In combination with azacitidine or decitabine or low-dose cytarabine for newly-diagnosed AML in adults 75 years or older, or who have comorbidities that preclude use of intensive induction chemotherapy</t>
  </si>
  <si>
    <t xml:space="preserve">11/21/2018</t>
  </si>
  <si>
    <t xml:space="preserve">10/16/2020</t>
  </si>
  <si>
    <t xml:space="preserve">FDA approves venetoclax in combination for AML in adults
Drugs
Regulatory Science Research and Education
Development &amp; Approval Process | Drugs
Drug Safety and Availability
Emergency Preparedness | Drugs
Guidance, Compliance, &amp; Regulatory Information
News &amp; Events for Human Drugs
Resources | Drugs
Science and Research | Drugs
On November 21, 2018, the Food and Drug Administration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Approval was based on two open-label non-randomized trials in patients with newly- diagnosed AML who were &gt; 75 years of age or had comorbidities that precluded the use of intensive induction chemotherapy. Efficacy was established based on the rate of complete remission (CR) and CR duration. 
Study M14-358 (NCT02203773) was a non-randomized, open-label clinical trial of venetoclax in combination with azacitidine (n=67) or decitabine (n=13) in newly- diagnosed patients with AML. In combination with azacitidine, 25 patients achieved a CR (37%, 95% CI: 26, 50) with a median observed time in remission of 5.5 months (range: 0.4-30 months). In combination with decitabine, 7 patients achieved a CR (54%, 95% CI: 25, 81) with a median observed time in remission of 4.7 months (range: 1.0-18 months). The observed time in remission is the time from start of CR to data cut-off date or relapse from CR. 
Study M14-387 (NCT02287233) was a non-randomized, open-label trial of venetoclax in combination with low-dose cytarabine (n=61) in newly-diagnosed patients with AML, including patients with previous exposure to a hypomethylating agent for an antecedent hematologic disorder. In combination with low-dose cytarabine, 13 patients achieved a CR (21%, 95% CI: 12, 34) with a median observed time in remission of 6 months (range: 0.03-25 months).
The most common adverse reactions (≥30%) to venetoclax in combination with azacitidine or decitabine or low-dose cytarabine were nausea, diarrhea, thrombocytopenia, constipation, neutropenia, febrile neutropenia, fatigue, vomiting, peripheral edema, pneumonia, dyspnea, hemorrhage, anemia, rash, abdominal pain, sepsis, back pain, myalgia, dizziness, cough, oropharyngeal pain, pyrexia, and hypotension.
The recommended venetoclax dose depends upon the combination regimen and is described in prescribing information for VENCLEXTA.
This indication is approved under accelerated approval and continued approval for this indication may be contingent upon verification and description of clinical benefit in confirmatory trials. FDA granted this application priority review, breakthrough therapy designation and orphan product designation. A description of FDA expedited programs is in the Guidance for Industry: Expedited Programs for Serious Conditions-Drugs and Biologics.
The ongoing phase 3 studies, VIALE-A (NCT02993523) and VIALE-C (NCT03069352), evaluate venetoclax in combination with azacitidine or low-dose cytarabine with overall survival as the primary endpoint and are intended as the confirmatory trials.
Healthcare professionals should report all serious adverse events suspected to be associated with the use of any medicine and device to FDA’s MedWatch Reporting System or by calling 1-800-FDA-1088.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12/14/2018
Regulated Product(s)
Drugs</t>
  </si>
  <si>
    <t xml:space="preserve">ID_805</t>
  </si>
  <si>
    <t xml:space="preserve">https://www.fda.gov/drugs/resources-information-approved-drugs/fda-grants-accelerated-approval-bosutinib-treatment-newly-diagnosed-ph-cml</t>
  </si>
  <si>
    <t xml:space="preserve">Alimta (pemetrexed disodium) In combination with pembrolizumab and carboplatin for first-line treatment of metastatic non-squamous NSCLC</t>
  </si>
  <si>
    <t xml:space="preserve">Alimta (pemetrexed disodium)</t>
  </si>
  <si>
    <t xml:space="preserve">In combination with pembrolizumab and carboplatin for first-line treatment of metastatic non-squamous NSCLC</t>
  </si>
  <si>
    <t xml:space="preserve">6/4/2018</t>
  </si>
  <si>
    <t xml:space="preserve">1/30/2019</t>
  </si>
  <si>
    <t xml:space="preserve">FDA grants accelerated approval to bosutinib for treatment of newly-diagnosed PH+ CML
Resources for Information | Approved Drugs
Oncology (Cancer)/Hematologic Malignancies Approval Notifications
Ongoing | Cancer Accelerated Approvals
Verified Clinical Benefit | Cancer Accelerated Approvals
Withdrawn | Cancer Accelerated Approvals
Other | Cancer Accelerated Approvals
On December 19, 2017, the Food and Drug Administration granted accelerated approval to bosutinib (BOSULIF, Pfizer Inc.) for treatment of patients with newly-diagnosed chronic phase (CP) Philadelphia chromosome positive (Ph+) chronic myelogenous leukemia (CML).
Approval was based on data from an open-label, randomized, multicenter trial (BFORE, NCT02130557) in 487 patients with Ph+ newly-diagnosed CP CML who were randomized to receive either bosutinib 400 mg once daily or imatinib 400 mg once daily. The major efficacy outcome measure was major molecular response (MMR) at 12 months, defined as ≤0.1% BCR ABL ratio on international scale (corresponding to ≥3 log reduction from standardized baseline) with a minimum of 3000 ABL transcripts as assessed by the central laboratory. MMR at 12 months was 47.2% (95% CI: 40.9, 53.4) in the bosutinib arm and 36.9% (95% CI: 30.8, 43.0) in the imatinib arm (p=0.0200).
Most common adverse reactions in patients with newly-diagnosed CML (incidence ≥20%) are diarrhea, nausea, thrombocytopenia, rash, increased alanine aminotransferase, abdominal pain, and increased aspartate aminotransferase.
FDA first approved bosutinib in 2012 for treatment of patients with chronic, accelerated, or blast phase Ph+ CML with resistance or intolerance to prior therapy.
The recommended dose of bosutinib for newly-diagnosed chronic phase Ph+ CML is 400 mg orally once daily with food.
Full prescribing information is available at: https://www.accessdata.fda.gov/drugsatfda_docs/label/2017/203341s009lbl.pdf.
FDA granted priority review and Orphan Drug designation to bosutinib for this application. As a condition of accelerated approval, further follow-up of patients in the BFORE trial is required. A description of FDA expedited programs is in the Guidance for Industry: Expedited Programs for Serious Conditions-Drugs and Biologics, available at: http://www.fda.gov/downloads/drugs/guidancecomplianceregulatoryinformation/guidances/ucm358301.pdf.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Check out recent approvals at the OCE’s podcast, Drug Information Soundcast in Clinical Oncology (D.I.S.C.O.), available at www.fda.gov/DISCO.
Content current as of:
12/19/2017</t>
  </si>
  <si>
    <t xml:space="preserve">ID_808</t>
  </si>
  <si>
    <t xml:space="preserve">https://www.fda.gov/drugs/resources-information-approved-drugs/pembrolizumab-keytruda-5-10-2017</t>
  </si>
  <si>
    <t xml:space="preserve">Keytruda (pembrolizumab) In combination with pemetrexed and carboplatin for first-line treatment of metastatic non-squamous NSCLC</t>
  </si>
  <si>
    <t xml:space="preserve">In combination with pemetrexed and carboplatin for first-line treatment of metastatic non-squamous NSCLC</t>
  </si>
  <si>
    <t xml:space="preserve">5/10/2017</t>
  </si>
  <si>
    <t xml:space="preserve">8/20/2018</t>
  </si>
  <si>
    <t xml:space="preserve">Pembrolizumab (Keytruda) 5-10-2017
Resources for Information | Approved Drugs
Oncology (Cancer)/Hematologic Malignancies Approval Notifications
Ongoing | Cancer Accelerated Approvals
Verified Clinical Benefit | Cancer Accelerated Approvals
Withdrawn | Cancer Accelerated Approvals
Other | Cancer Accelerated Approvals
On May 10, 2017, the U.S. Food and Drug Administration granted accelerated approval to pembrolizumab (KEYTRUDA®, Merck and Co., Inc.) in combination with pemetrexed and carboplatin for the treatment of patients with previously untreated metastatic non-squamous non-small cell lung cancer (NSCLC).
Approval was based on a cohort (G1) of patients enrolled in an open-label, multicenter, multi-cohort study (KEYNOTE-021). A total of 123 patients with locally advanced or metastatic non-squamous NSCLC and no prior systemic treatment for metastatic disease were enrolled. Patients were randomized to receive either pembrolizumab, 200 mg every 3 weeks, in combination with pemetrexed and carboplatin (PC) for 4 cycles followed by pembrolizumab for a maximum of 24 months (n=60) compared to PC alone (n=63). At the investigator’s discretion, patients in both arms may have received pemetrexed as maintenance therapy. Randomization was stratified by PD-L1 tumor expression (tumor proportion score [TPS] &lt;1% vs.="" tps=""&gt;1%&gt;
The trial demonstrated an improvement in overall response rate (ORR) and in progression-free survival (PFS) for patients randomized to pembrolizumab plus PC. The ORR was 55% (95% CI: 42-68%) for the pembrolizumab plus PC arm and 29% (95% CI: 18-41%) for the PC alone arm (p=0.0032).. Among responders, the proportion of patients with response durations of 6 months or longer was 93% in the pembrolizumab-containing arm and 81% in the PC alone arm. The hazard ratio for PFS was 0.53 (95% CI: 0.31, 0.91, p=0.0205) and the median PFS was 13.0 months (95% CI: 8.3, NE) for the pembrolizumab plus PC arm and 8.9 months (95% CI: 4.4, 10.3) for the PC alone arm. Exploratory analyses of ORR were conducted in subgroups defined by PD-L1 tumor expression (TPS &lt;1% and="" tps="" ≥1%).="" in="" the="" tps=""&gt;1%&gt;&lt;1% subgroup,="" the="" orr="" was="" 57%="" and="" 13%="" in="" the="" pembrolizumab="" plus="" pc="" and="" in="" the="" pc="" alone="" arms,="" respectively.="" in="" the="" tps="" ≥1%="" subgroup,="" the="" orr="" was="" 54%="" and="" 38%="" in="" the="" pembrolizumab="" plus="" pc="" and="" in="" the="" pc="" alone="" arms,=""&gt;1%&gt;
Adverse events (AEs) and serious AEs (SAE) were observed at a higher incidence with the addition of pembrolizumab to PC compared to PC alone in patients from Cohort G1. Serious AEs occurred in 41% of the patients in the pembrolizumab plus PC arm compared with 28% in the PC alone arm. . The most common AEs (all grades) in the pembrolizumab + PC arm were fatigue (71%), nausea (68%), and constipation (51%). The most common grade 3-4 adverse reactions were fatigue (3.4%), dyspnea (3.4%), nausea (1.7%), vomiting (1.7%), diarrhea (1.7%), and rash (1.7%). Pembrolizumab was discontinued for adverse reactions in 10% of patients. The most common adverse reaction resulting in discontinuation of pembrolizumab (≥ 2%) was acute kidney injury (3.4%).
Immune-mediated adverse reactions can occur with pembrolizumab including pneumonitis, colitis, hepatitis, endocrinopathies, and nephritis. Based on the severity of the adverse reaction, pembrolizumab should be withheld or discontinued and corticosteroids administered when appropriate.
The recommended pembrolizumab dose and schedule for NSCLC is 200 mg as an intravenous infusion every 3 weeks until disease progression, unacceptable toxicity, or up to 24 months in patients without disease progression.
Full prescribing information for pembrolizumab is available at: KEYTRUDA
FDA granted pembrolizumab priority review status and accelerated approval for this indication. An additional study is required to confirm clinical benefit of pembrolizumab in combination with chemotherapy for this indication. A description of FDA expedited programs is in the Guidance for Industry: Expedited Programs for Serious Conditions-Drugs and Biologics, available at: Guidance for Industry Expedited Programs for Serious Conditions – Drugs and Biologics.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Follow the Oncology Center of Excellence on Twitter @FDAOncology
Content current as of:
05/11/2017</t>
  </si>
  <si>
    <t xml:space="preserve">ID_816</t>
  </si>
  <si>
    <t xml:space="preserve">Opdivo (nivolumab) 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</si>
  <si>
    <t xml:space="preserve">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</si>
  <si>
    <t xml:space="preserve">1/23/2016</t>
  </si>
  <si>
    <t xml:space="preserve">3/7/2019</t>
  </si>
  <si>
    <t xml:space="preserve">ID_821</t>
  </si>
  <si>
    <t xml:space="preserve">Opdivo (nivolumab) In combination with ipilimumab for BRAF V600 wild-type unresectable or metastatic melanoma</t>
  </si>
  <si>
    <t xml:space="preserve">In combination with ipilimumab for BRAF V600 wild-type unresectable or metastatic melanoma</t>
  </si>
  <si>
    <t xml:space="preserve">9/30/2015</t>
  </si>
  <si>
    <t xml:space="preserve">ID_822</t>
  </si>
  <si>
    <t xml:space="preserve">Ibrance (palbociclib) In combination with letrozole for postmenopausal women with ER-positive, HER2-negative advanced breast cancer as initial endocrine-based therapy for metastatic disease</t>
  </si>
  <si>
    <t xml:space="preserve">Ibrance (palbociclib)</t>
  </si>
  <si>
    <t xml:space="preserve">In combination with letrozole for postmenopausal women with ER-positive, HER2-negative advanced breast cancer as initial endocrine-based therapy for metastatic disease</t>
  </si>
  <si>
    <t xml:space="preserve">2/3/2015</t>
  </si>
  <si>
    <t xml:space="preserve">3/31/2017</t>
  </si>
  <si>
    <t xml:space="preserve">ID_829</t>
  </si>
  <si>
    <t xml:space="preserve">Tafinlar (dabrafenib) In combination with trametinib for unresectable or metastatic melanoma with BRAF V600E or V600K mutations, as detected by an FDA-approved test</t>
  </si>
  <si>
    <t xml:space="preserve">Tafinlar (dabrafenib)</t>
  </si>
  <si>
    <t xml:space="preserve">In combination with trametinib for unresectable or metastatic melanoma with BRAF V600E or V600K mutations, as detected by an FDA-approved test</t>
  </si>
  <si>
    <t xml:space="preserve">1/9/2014</t>
  </si>
  <si>
    <t xml:space="preserve">11/20/2015</t>
  </si>
  <si>
    <t xml:space="preserve">ID_830</t>
  </si>
  <si>
    <t xml:space="preserve">Mekinist (trametinib) In combination with dabrafenib for unresectable or metastatic melanoma with BRAF V600E or V600K mutations, as detected by an FDA-approved test</t>
  </si>
  <si>
    <t xml:space="preserve">Mekinist (trametinib)</t>
  </si>
  <si>
    <t xml:space="preserve">In combination with dabrafenib for unresectable or metastatic melanoma with BRAF V600E or V600K mutations, as detected by an FDA-approved test</t>
  </si>
  <si>
    <t xml:space="preserve">1/8/2014</t>
  </si>
  <si>
    <t xml:space="preserve">ID_831</t>
  </si>
  <si>
    <t xml:space="preserve">Perjeta (pertuzumab) In combination with trastuzumab and docetaxel for neoadjuvant treatment of HER2-positive locally advanced inflammatory or early-stage breast cancer (either greater than 2 cm in diameter or node-positive) as part of a complete treatment regimen for early early breast cancer</t>
  </si>
  <si>
    <t xml:space="preserve">Perjeta (pertuzumab)</t>
  </si>
  <si>
    <t xml:space="preserve">In combination with trastuzumab and docetaxel for neoadjuvant treatment of HER2-positive locally advanced inflammatory or early-stage breast cancer (either greater than 2 cm in diameter or node-positive) as part of a complete treatment regimen for early early breast cancer</t>
  </si>
  <si>
    <t xml:space="preserve">9/30/2013</t>
  </si>
  <si>
    <t xml:space="preserve">12/20/2017</t>
  </si>
  <si>
    <t xml:space="preserve">ID_843</t>
  </si>
  <si>
    <t xml:space="preserve">Tykerb (lapatinib) In combination with letrozole for post-menopausal women with HR-positive metastatic breast cancer that overexpresses the HER2 receptor for whom hormonal therapy is indicated</t>
  </si>
  <si>
    <t xml:space="preserve">Tykerb (lapatinib)</t>
  </si>
  <si>
    <t xml:space="preserve">In combination with letrozole for post-menopausal women with HR-positive metastatic breast cancer that overexpresses the HER2 receptor for whom hormonal therapy is indicated</t>
  </si>
  <si>
    <t xml:space="preserve">1/29/2010</t>
  </si>
  <si>
    <t xml:space="preserve">12/6/2018</t>
  </si>
  <si>
    <t xml:space="preserve">ID_847</t>
  </si>
  <si>
    <t xml:space="preserve">Alimta (pemetrexed disodium) Non-squamous NSCLC: 1) as initial treatment with cisplatin; 2) as a single agent after prior chemotherapy</t>
  </si>
  <si>
    <t xml:space="preserve">Non-squamous NSCLC: 1) as initial treatment with cisplatin; 2) as a single agent after prior chemotherapy</t>
  </si>
  <si>
    <t xml:space="preserve">9/26/2008</t>
  </si>
  <si>
    <t xml:space="preserve">7/2/2009</t>
  </si>
  <si>
    <t xml:space="preserve">ID_858</t>
  </si>
  <si>
    <t xml:space="preserve">Erbitux (cetuximab) In combination with irinotecan for EGFR-expressing metastatic colorectal carcinoma refractory to irinotecan-based chemotherapy</t>
  </si>
  <si>
    <t xml:space="preserve">Erbitux (cetuximab)</t>
  </si>
  <si>
    <t xml:space="preserve">In combination with irinotecan for EGFR-expressing metastatic colorectal carcinoma refractory to irinotecan-based chemotherapy</t>
  </si>
  <si>
    <t xml:space="preserve">2/12/2004</t>
  </si>
  <si>
    <t xml:space="preserve">7/6/2012</t>
  </si>
  <si>
    <t xml:space="preserve">ID_864</t>
  </si>
  <si>
    <t xml:space="preserve">Eloxatin (oxaliplatin) In combination with infusional 5-FU/LV for metastatic color or rectal carcinoma that progressed during or within 6 months of completion of first-line therapy with bolus 5 -FU/LV and irinotectan</t>
  </si>
  <si>
    <t xml:space="preserve">Eloxatin (oxaliplatin)</t>
  </si>
  <si>
    <t xml:space="preserve">In combination with infusional 5-FU/LV for metastatic color or rectal carcinoma that progressed during or within 6 months of completion of first-line therapy with bolus 5 -FU/LV and irinotectan</t>
  </si>
  <si>
    <t xml:space="preserve">8/9/2002</t>
  </si>
  <si>
    <t xml:space="preserve">1/9/2004</t>
  </si>
  <si>
    <t xml:space="preserve">ID_877</t>
  </si>
  <si>
    <t xml:space="preserve">Casodex (bicalutamide) In combination with an LHRH analogue for advanced prostate cancer</t>
  </si>
  <si>
    <t xml:space="preserve">Casodex (bicalutamide)</t>
  </si>
  <si>
    <t xml:space="preserve">In combination with an LHRH analogue for advanced prostate cancer</t>
  </si>
  <si>
    <t xml:space="preserve">10/4/1995</t>
  </si>
  <si>
    <t xml:space="preserve">12/12/1997</t>
  </si>
  <si>
    <t xml:space="preserve">ID_882</t>
  </si>
  <si>
    <t xml:space="preserve">https://www.fda.gov/drugs/resources-information-approved-drugs/fda-grants-accelerated-approval-melphalan-flufenamide-relapsed-or-refractory-multiple-myeloma</t>
  </si>
  <si>
    <t xml:space="preserve">AA_Withdrawal</t>
  </si>
  <si>
    <t xml:space="preserve">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</si>
  <si>
    <t xml:space="preserve">Pepaxto (melphalan flufenamide)</t>
  </si>
  <si>
    <t xml:space="preserve">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</si>
  <si>
    <t xml:space="preserve">2/26/2021</t>
  </si>
  <si>
    <t xml:space="preserve">2/23/2024</t>
  </si>
  <si>
    <t xml:space="preserve">ID_891</t>
  </si>
  <si>
    <t xml:space="preserve">Farydak (panobinostat) In combination with bortezomib (BTZ) and dexamethasone (DEX) for the treatment of patients with multiple myeloma (MM) who have received at least 2 prior regimens, including BTZ and an immunomodulatory agent.</t>
  </si>
  <si>
    <t xml:space="preserve">Farydak (panobinostat)</t>
  </si>
  <si>
    <t xml:space="preserve">In combination with bortezomib (BTZ) and dexamethasone (DEX) for the treatment of patients with multiple myeloma (MM) who have received at least 2 prior regimens, including BTZ and an immunomodulatory agent.</t>
  </si>
  <si>
    <t xml:space="preserve">2/23/2015</t>
  </si>
  <si>
    <t xml:space="preserve">3/24/2022</t>
  </si>
  <si>
    <t xml:space="preserve">ID_896</t>
  </si>
  <si>
    <t xml:space="preserve">https://www.fda.gov/drugs/drug-approvals-and-databases/fda-approves-atezolizumab-pd-l1-positive-unresectable-locally-advanced-or-metastatic-triple-negative</t>
  </si>
  <si>
    <t xml:space="preserve">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</si>
  <si>
    <t xml:space="preserve">Tecentriq (atezolizumab)</t>
  </si>
  <si>
    <t xml:space="preserve">In combination with paclitaxel protein-bound for unresectable locally advanced or metastatic triple-negative breast cancer whose tumors express PD-L1 (PD-L1 stained tumor-infiltrating immune cells of any intensity covering = 1% of the tumor area), as determined by an FDA-approved test.</t>
  </si>
  <si>
    <t xml:space="preserve">3/8/2019</t>
  </si>
  <si>
    <t xml:space="preserve">10/6/2021</t>
  </si>
  <si>
    <t xml:space="preserve">FDA approves atezolizumab for PD-L1 positive unresectable locally advanced or metastatic triple-negative breast cancer
Drug Approvals and Databases
Resources for Information | Approved Drugs
On March 8, 2019, the Food and Drug Administration granted accelerated approval to atezolizumab (TECENTRIQ, Genentech Inc.) in combination with paclitaxel protein-bound for adult patients with unresectable locally advanced or metastatic triple-negative breast cancer (TNBC) whose tumors express PD-L1 (PD-L1 stained tumor-infiltrating immune cells [IC] of any intensity covering ≥ 1% of the tumor area), as determined by an FDA-approved test.
FDA also approved the VENTANA PD-L1 (SP142) Assay as a companion diagnostic device for selecting TNBC patients for atezolizumab.
Approval was based on IMpassion130 (NCT02425891), a multicenter, international, double-blinded, placebo-controlled, randomized trial that included 902 patients with unresectable locally advanced or metastatic TNBC who had not received prior chemotherapy for metastatic disease. Patients were randomized (1:1) to receive either atezolizumab (840 mg) or placebo intravenous infusions on days 1 and 15 of every 28-day cycle, plus paclitaxel protein-bound (100 mg/m2) administered via intravenous infusion on days 1, 8, and 15 of every 28-day cycle.
Tumor specimens (archival or fresh) were evaluated prospectively using the VENTANA PD-L1 (SP142) Assay at a central laboratory and the results were used as a stratification factor for randomization and to define the PD-L1 positive population for pre-specified analyses.
In patients whose tumors express PD-L1, median progression-free survival (PFS) was 7.4 months (6.6, 9.2) for patients receiving atezolizumab with paclitaxel protein-bound and 4.8 months (3.8, 5.5) for those receiving placebo with paclitaxel protein-bound. The stratified hazard ratio for PFS was 0.60 (95% CI: 0.48, 0.77; p&lt;0.0001) in favor of the atezolizumab plus paclitaxel protein-bound arm. Objective response rate (ORR) in patients with confirmed responses was 53% compared to 33% for the atezolizumab and the placebo-containing arms, respectively. Overall survival data were immature with 43% deaths in the intent to treat (ITT) population. 
The most common adverse reactions (reported in ≥ 20% of patients) with atezolizumab with paclitaxel protein-bound were alopecia, peripheral neuropathies, fatigue, nausea, diarrhea, anemia, constipation, cough, headache, neutropenia, vomiting, and decreased appetite.
This indication is approved under accelerated approval based on progression-free survival. Continued approval for this indication may be contingent upon verification and description of clinical benefit in a confirmatory trial(s).
The recommended atezolizumab dose for patients with TNBC whose tumors express PD-L1 is 840 mg administered as an intravenous infusion over 60 minutes, followed by 100 mg/m2 paclitaxel protein-bound. For each 28-day cycle, atezolizumab is administered on days 1 and 15, and paclitaxel protein-bound is administered on days 1, 8, and 15 until disease progression or unacceptable toxicity.
View full prescribing information for TECENTRIQ.
FDA granted this application priority review. A description of FDA expedited programs is in the Guidance for Industry: Expedited Programs for Serious Conditions-Drugs and Biologics.
Healthcare professionals should report all serious adverse events suspected to be associated with the use of any medicine and device to FDA’s MedWatch Reporting System or by calling 1-800-FDA-1088.
Follow the Oncology Center of Excellence on Twitter @FDAOncology.
Check out recent approvals at the OCE’s podcast, Drug Information Soundcast in Clinical Oncology (D.I.S.C.O.).
Content current as of:
03/18/2019
Regulated Product(s)
Drugs</t>
  </si>
  <si>
    <t xml:space="preserve">ID_900</t>
  </si>
  <si>
    <t xml:space="preserve">https://www.fda.gov/drugs/resources-information-approved-drugs/olaratumab-lartruvo</t>
  </si>
  <si>
    <t xml:space="preserve">Lartruvo (olaratumab) In combination with doxorubicin for adults with soft tissue sarcoma with a histologic subtype for which an anthracycline-containing regimen is appropriate and which is not amenable to curative treatment with radiotherapy or surgery</t>
  </si>
  <si>
    <t xml:space="preserve">Lartruvo (olaratumab)</t>
  </si>
  <si>
    <t xml:space="preserve">In combination with doxorubicin for adults with soft tissue sarcoma with a histologic subtype for which an anthracycline-containing regimen is appropriate and which is not amenable to curative treatment with radiotherapy or surgery</t>
  </si>
  <si>
    <t xml:space="preserve">10/19/2016</t>
  </si>
  <si>
    <t xml:space="preserve">2/25/2020</t>
  </si>
  <si>
    <t xml:space="preserve">Olaratumab (LARTRUVO)
Resources for Information | Approved Drugs
Oncology (Cancer)/Hematologic Malignancies Approval Notifications
Ongoing | Cancer Accelerated Approvals
Verified Clinical Benefit | Cancer Accelerated Approvals
Withdrawn | Cancer Accelerated Approvals
Other | Cancer Accelerated Approvals
On October 19, 2016, the U.S. Food and Drug Administration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Approval was based on data from a randomized, active-controlled, clinical trial involving 133 patients with metastatic STS. Patients were required to have STS not amenable to curative treatment with surgery or radiotherapy, and a histologic type of sarcoma for which an anthracycline-containing regimen was appropriate, but had not been administered.
Patients were randomized (1:1) to receive the combination of olaratumab plus doxorubicin or doxorubicin as a single agent. Olaratumab was administered at 15 mg/kg as an intravenous (IV) infusion on days 1 and 8 of each 21-day cycle. All patients received doxorubicin 75 mg/m2 as an IV infusion on day 1 of each 21-day cycle for maximum of eight cycles and were permitted to receive dexrazoxane on cycles 5 to 8. Single-agent olaratumab was offered to patients in the doxorubicin alone arm at the time of disease progression. Sixty-six patients were randomized to the combination treatment and 67 to doxorubicin alone. Sixty-five percent of patients had no prior chemotherapy (excluding adjuvant and neoadjuvant therapy), 38% had leiomyosarcoma, 1.5% had synovial sarcoma, and 61% had other histologies (over 25 different STS histologies). All patients had metastatic disease and were enrolled in the United States.
Patients who received the combination treatment had a statistically significant improvement in overall survival (OS) compared to those receiving doxorubicin alone. Patients receiving the combination treatment had a median OS of 26.5 months (95% CI: 20.9, 31.7) compared to 14.7 months (95% CI: 9.2, 17.1) for those receiving doxorubicin alone (HR=0.52 [95% CI: 0.34, 0.79]).
The median progression-free survival (independent review) was 8.2 months (95% CI: 5.5, 9.8) for patients who received the combination treatment and 4.4 months (95% CI: 3.1, 7.4) for those receiving doxorubicin alone (HR=0.74 [95% CI: 0.46, 1.19]). The overall response rate (independent review) was 18% (95% CI: 9.8, 29.6) in the combination arm and 8% (95% CI: 2.5, 16.6) in the doxorubicin alone arm.
The most common (greater than or equal to 20%) side effects of treatment with olaratumab are nausea, fatigue, neutropenia, musculoskeletal pain, mucositis, alopecia, vomiting, diarrhea, decreased appetite, abdominal pain, neuropathy, and headache. Infusion-related reactions were seen in 13% of patients. 
The recommended dose and schedule of olaratumab is 15 mg/kg administered as an IV infusion over 60 minutes on days 1 and 8 of each 21-day cycle until disease progression or unacceptable toxicity. For the first eight cycles, olaratumab is administered with doxorubicin.
FDA granted olaratumab fast track and breakthrough therapy designation, priority review status, and accelerated approval for this indication. As a condition of the accelerated approval, Eli Lilly and Company is required to conduct a randomized, controlled trial to verify and further describe the clinical benefit of olaratumab given with doxorubicin in patients with STS. Olaratumab also received orphan drug designation. A description of these expedited programs is in the Guidance for Industry: Expedited Programs for Serious Conditions-Drugs and Biologics, available at: http://www.fda.gov/downloads/drugs/guidancecomplianceregulatoryinformation/guidances/ucm358301.pdf.
Full prescribing information is available at: http://www.accessdata.fda.gov/drugsatfda_docs/label/2016/761038lbl.pdf
Healthcare professionals should report all serious adverse events suspected to be associated with the use of any medicine and device to FDA’s MedWatch Reporting System by completing a form online at http://www.fda.gov/medwatch/report.htm, by faxing (1-800-FDA-0178) or mailing the postage-paid address form provided online, or by telephone (1-800-FDA-1088)
Content current as of:
10/20/2016</t>
  </si>
  <si>
    <t xml:space="preserve">ID_904</t>
  </si>
  <si>
    <t xml:space="preserve">Avastin (bevacizumab) In combination with paclitaxel for patients who have not received chemotherapy for metastatic HER2 negative breast cancer</t>
  </si>
  <si>
    <t xml:space="preserve">Avastin (bevacizumab)</t>
  </si>
  <si>
    <t xml:space="preserve">In combination with paclitaxel for patients who have not received chemotherapy for metastatic HER2 negative breast cancer</t>
  </si>
  <si>
    <t xml:space="preserve">2/22/2008</t>
  </si>
  <si>
    <t xml:space="preserve">11/18/2011</t>
  </si>
</sst>
</file>

<file path=xl/styles.xml><?xml version="1.0" encoding="utf-8"?>
<styleSheet xmlns="http://schemas.openxmlformats.org/spreadsheetml/2006/main">
  <numFmts count="2">
    <numFmt numFmtId="164" formatCode="General"/>
    <numFmt numFmtId="165" formatCode="General"/>
  </numFmts>
  <fonts count="4">
    <font>
      <sz val="11"/>
      <color theme="1"/>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162" activePane="bottomLeft" state="frozen"/>
      <selection pane="topLeft" activeCell="A1" activeCellId="0" sqref="A1"/>
      <selection pane="bottomLeft" activeCell="R191" activeCellId="0" sqref="R191"/>
    </sheetView>
  </sheetViews>
  <sheetFormatPr defaultColWidth="8.59765625" defaultRowHeight="15.85" zeroHeight="false" outlineLevelRow="0" outlineLevelCol="0"/>
  <sheetData>
    <row r="1" customFormat="false" ht="15.85" hidden="false" customHeight="tru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row>
    <row r="2" customFormat="false" ht="15.85" hidden="false" customHeight="true" outlineLevel="0" collapsed="false">
      <c r="A2" s="0" t="s">
        <v>20</v>
      </c>
      <c r="B2" s="0" t="s">
        <v>21</v>
      </c>
      <c r="C2" s="0" t="s">
        <v>22</v>
      </c>
      <c r="D2" s="0" t="s">
        <v>23</v>
      </c>
      <c r="E2" s="0" t="s">
        <v>24</v>
      </c>
      <c r="F2" s="0" t="s">
        <v>25</v>
      </c>
      <c r="G2" s="0" t="s">
        <v>22</v>
      </c>
      <c r="H2" s="0" t="e">
        <f aca="false">#N/A</f>
        <v>#N/A</v>
      </c>
      <c r="I2" s="0" t="e">
        <f aca="false">#N/A</f>
        <v>#N/A</v>
      </c>
      <c r="J2" s="0" t="e">
        <f aca="false">#N/A</f>
        <v>#N/A</v>
      </c>
      <c r="K2" s="0" t="e">
        <f aca="false">#N/A</f>
        <v>#N/A</v>
      </c>
      <c r="L2" s="0" t="e">
        <f aca="false">#N/A</f>
        <v>#N/A</v>
      </c>
      <c r="M2" s="0" t="s">
        <v>26</v>
      </c>
      <c r="N2" s="0" t="s">
        <v>26</v>
      </c>
      <c r="O2" s="0" t="s">
        <v>26</v>
      </c>
      <c r="P2" s="0" t="s">
        <v>26</v>
      </c>
      <c r="Q2" s="1" t="b">
        <f aca="false">FALSE()</f>
        <v>0</v>
      </c>
      <c r="R2" s="0" t="e">
        <f aca="false">#N/A</f>
        <v>#N/A</v>
      </c>
      <c r="S2" s="0" t="e">
        <f aca="false">#N/A</f>
        <v>#N/A</v>
      </c>
      <c r="T2" s="2" t="s">
        <v>27</v>
      </c>
    </row>
    <row r="3" customFormat="false" ht="15.85" hidden="false" customHeight="true" outlineLevel="0" collapsed="false">
      <c r="A3" s="0" t="s">
        <v>28</v>
      </c>
      <c r="B3" s="0" t="s">
        <v>29</v>
      </c>
      <c r="C3" s="0" t="s">
        <v>30</v>
      </c>
      <c r="D3" s="0" t="s">
        <v>31</v>
      </c>
      <c r="E3" s="0" t="s">
        <v>32</v>
      </c>
      <c r="F3" s="0" t="s">
        <v>25</v>
      </c>
      <c r="G3" s="0" t="s">
        <v>30</v>
      </c>
      <c r="H3" s="0" t="e">
        <f aca="false">#N/A</f>
        <v>#N/A</v>
      </c>
      <c r="I3" s="0" t="e">
        <f aca="false">#N/A</f>
        <v>#N/A</v>
      </c>
      <c r="J3" s="0" t="e">
        <f aca="false">#N/A</f>
        <v>#N/A</v>
      </c>
      <c r="K3" s="0" t="e">
        <f aca="false">#N/A</f>
        <v>#N/A</v>
      </c>
      <c r="L3" s="0" t="e">
        <f aca="false">#N/A</f>
        <v>#N/A</v>
      </c>
      <c r="M3" s="0" t="s">
        <v>26</v>
      </c>
      <c r="N3" s="0" t="s">
        <v>26</v>
      </c>
      <c r="O3" s="0" t="s">
        <v>26</v>
      </c>
      <c r="P3" s="0" t="s">
        <v>26</v>
      </c>
      <c r="Q3" s="1" t="b">
        <f aca="false">FALSE()</f>
        <v>0</v>
      </c>
      <c r="R3" s="0" t="e">
        <f aca="false">#N/A</f>
        <v>#N/A</v>
      </c>
      <c r="S3" s="0" t="e">
        <f aca="false">#N/A</f>
        <v>#N/A</v>
      </c>
      <c r="T3" s="2" t="s">
        <v>33</v>
      </c>
    </row>
    <row r="4" customFormat="false" ht="15.85" hidden="false" customHeight="true" outlineLevel="0" collapsed="false">
      <c r="A4" s="0" t="s">
        <v>34</v>
      </c>
      <c r="B4" s="0" t="s">
        <v>35</v>
      </c>
      <c r="C4" s="0" t="s">
        <v>36</v>
      </c>
      <c r="D4" s="0" t="s">
        <v>37</v>
      </c>
      <c r="E4" s="0" t="s">
        <v>38</v>
      </c>
      <c r="F4" s="0" t="s">
        <v>25</v>
      </c>
      <c r="G4" s="0" t="s">
        <v>36</v>
      </c>
      <c r="H4" s="0" t="e">
        <f aca="false">#N/A</f>
        <v>#N/A</v>
      </c>
      <c r="I4" s="0" t="e">
        <f aca="false">#N/A</f>
        <v>#N/A</v>
      </c>
      <c r="J4" s="0" t="e">
        <f aca="false">#N/A</f>
        <v>#N/A</v>
      </c>
      <c r="K4" s="0" t="e">
        <f aca="false">#N/A</f>
        <v>#N/A</v>
      </c>
      <c r="L4" s="0" t="e">
        <f aca="false">#N/A</f>
        <v>#N/A</v>
      </c>
      <c r="M4" s="0" t="s">
        <v>26</v>
      </c>
      <c r="N4" s="0" t="s">
        <v>26</v>
      </c>
      <c r="O4" s="0" t="s">
        <v>26</v>
      </c>
      <c r="P4" s="0" t="s">
        <v>26</v>
      </c>
      <c r="Q4" s="1" t="b">
        <f aca="false">FALSE()</f>
        <v>0</v>
      </c>
      <c r="R4" s="0" t="e">
        <f aca="false">#N/A</f>
        <v>#N/A</v>
      </c>
      <c r="S4" s="0" t="e">
        <f aca="false">#N/A</f>
        <v>#N/A</v>
      </c>
      <c r="T4" s="2" t="s">
        <v>39</v>
      </c>
    </row>
    <row r="5" customFormat="false" ht="15.85" hidden="false" customHeight="true" outlineLevel="0" collapsed="false">
      <c r="A5" s="0" t="s">
        <v>40</v>
      </c>
      <c r="B5" s="0" t="s">
        <v>41</v>
      </c>
      <c r="C5" s="0" t="s">
        <v>42</v>
      </c>
      <c r="D5" s="0" t="s">
        <v>43</v>
      </c>
      <c r="E5" s="0" t="s">
        <v>44</v>
      </c>
      <c r="F5" s="0" t="s">
        <v>25</v>
      </c>
      <c r="G5" s="0" t="s">
        <v>42</v>
      </c>
      <c r="H5" s="0" t="e">
        <f aca="false">#N/A</f>
        <v>#N/A</v>
      </c>
      <c r="I5" s="0" t="e">
        <f aca="false">#N/A</f>
        <v>#N/A</v>
      </c>
      <c r="J5" s="0" t="e">
        <f aca="false">#N/A</f>
        <v>#N/A</v>
      </c>
      <c r="K5" s="0" t="e">
        <f aca="false">#N/A</f>
        <v>#N/A</v>
      </c>
      <c r="L5" s="0" t="e">
        <f aca="false">#N/A</f>
        <v>#N/A</v>
      </c>
      <c r="M5" s="0" t="s">
        <v>26</v>
      </c>
      <c r="N5" s="0" t="s">
        <v>26</v>
      </c>
      <c r="O5" s="0" t="s">
        <v>26</v>
      </c>
      <c r="P5" s="0" t="s">
        <v>26</v>
      </c>
      <c r="Q5" s="1" t="b">
        <f aca="false">FALSE()</f>
        <v>0</v>
      </c>
      <c r="R5" s="0" t="e">
        <f aca="false">#N/A</f>
        <v>#N/A</v>
      </c>
      <c r="S5" s="0" t="e">
        <f aca="false">#N/A</f>
        <v>#N/A</v>
      </c>
      <c r="T5" s="2" t="s">
        <v>45</v>
      </c>
    </row>
    <row r="6" customFormat="false" ht="15.85" hidden="false" customHeight="true" outlineLevel="0" collapsed="false">
      <c r="A6" s="0" t="s">
        <v>46</v>
      </c>
      <c r="B6" s="0" t="s">
        <v>47</v>
      </c>
      <c r="C6" s="0" t="s">
        <v>48</v>
      </c>
      <c r="D6" s="0" t="s">
        <v>49</v>
      </c>
      <c r="E6" s="0" t="s">
        <v>50</v>
      </c>
      <c r="F6" s="0" t="s">
        <v>25</v>
      </c>
      <c r="G6" s="0" t="s">
        <v>48</v>
      </c>
      <c r="H6" s="0" t="e">
        <f aca="false">#N/A</f>
        <v>#N/A</v>
      </c>
      <c r="I6" s="0" t="e">
        <f aca="false">#N/A</f>
        <v>#N/A</v>
      </c>
      <c r="J6" s="0" t="e">
        <f aca="false">#N/A</f>
        <v>#N/A</v>
      </c>
      <c r="K6" s="0" t="e">
        <f aca="false">#N/A</f>
        <v>#N/A</v>
      </c>
      <c r="L6" s="0" t="e">
        <f aca="false">#N/A</f>
        <v>#N/A</v>
      </c>
      <c r="M6" s="0" t="s">
        <v>26</v>
      </c>
      <c r="N6" s="0" t="s">
        <v>26</v>
      </c>
      <c r="O6" s="0" t="s">
        <v>26</v>
      </c>
      <c r="P6" s="0" t="s">
        <v>26</v>
      </c>
      <c r="Q6" s="1" t="b">
        <f aca="false">FALSE()</f>
        <v>0</v>
      </c>
      <c r="R6" s="0" t="e">
        <f aca="false">#N/A</f>
        <v>#N/A</v>
      </c>
      <c r="S6" s="0" t="e">
        <f aca="false">#N/A</f>
        <v>#N/A</v>
      </c>
      <c r="T6" s="2" t="s">
        <v>51</v>
      </c>
    </row>
    <row r="7" customFormat="false" ht="15.85" hidden="false" customHeight="true" outlineLevel="0" collapsed="false">
      <c r="A7" s="0" t="s">
        <v>52</v>
      </c>
      <c r="B7" s="0" t="s">
        <v>53</v>
      </c>
      <c r="C7" s="0" t="s">
        <v>54</v>
      </c>
      <c r="D7" s="0" t="s">
        <v>55</v>
      </c>
      <c r="E7" s="0" t="s">
        <v>56</v>
      </c>
      <c r="F7" s="0" t="s">
        <v>25</v>
      </c>
      <c r="G7" s="0" t="s">
        <v>54</v>
      </c>
      <c r="H7" s="0" t="e">
        <f aca="false">#N/A</f>
        <v>#N/A</v>
      </c>
      <c r="I7" s="0" t="e">
        <f aca="false">#N/A</f>
        <v>#N/A</v>
      </c>
      <c r="J7" s="0" t="e">
        <f aca="false">#N/A</f>
        <v>#N/A</v>
      </c>
      <c r="K7" s="0" t="e">
        <f aca="false">#N/A</f>
        <v>#N/A</v>
      </c>
      <c r="L7" s="0" t="e">
        <f aca="false">#N/A</f>
        <v>#N/A</v>
      </c>
      <c r="M7" s="0" t="s">
        <v>26</v>
      </c>
      <c r="N7" s="0" t="s">
        <v>26</v>
      </c>
      <c r="O7" s="0" t="s">
        <v>26</v>
      </c>
      <c r="P7" s="0" t="s">
        <v>26</v>
      </c>
      <c r="Q7" s="1" t="b">
        <f aca="false">FALSE()</f>
        <v>0</v>
      </c>
      <c r="R7" s="0" t="e">
        <f aca="false">#N/A</f>
        <v>#N/A</v>
      </c>
      <c r="S7" s="0" t="e">
        <f aca="false">#N/A</f>
        <v>#N/A</v>
      </c>
      <c r="T7" s="2" t="s">
        <v>57</v>
      </c>
    </row>
    <row r="8" customFormat="false" ht="15.85" hidden="false" customHeight="true" outlineLevel="0" collapsed="false">
      <c r="A8" s="0" t="s">
        <v>58</v>
      </c>
      <c r="B8" s="0" t="s">
        <v>59</v>
      </c>
      <c r="C8" s="0" t="s">
        <v>60</v>
      </c>
      <c r="D8" s="0" t="s">
        <v>61</v>
      </c>
      <c r="E8" s="0" t="s">
        <v>62</v>
      </c>
      <c r="F8" s="0" t="s">
        <v>25</v>
      </c>
      <c r="G8" s="0" t="s">
        <v>60</v>
      </c>
      <c r="H8" s="0" t="e">
        <f aca="false">#N/A</f>
        <v>#N/A</v>
      </c>
      <c r="I8" s="0" t="e">
        <f aca="false">#N/A</f>
        <v>#N/A</v>
      </c>
      <c r="J8" s="0" t="e">
        <f aca="false">#N/A</f>
        <v>#N/A</v>
      </c>
      <c r="K8" s="0" t="e">
        <f aca="false">#N/A</f>
        <v>#N/A</v>
      </c>
      <c r="L8" s="0" t="e">
        <f aca="false">#N/A</f>
        <v>#N/A</v>
      </c>
      <c r="M8" s="0" t="s">
        <v>26</v>
      </c>
      <c r="N8" s="0" t="s">
        <v>26</v>
      </c>
      <c r="O8" s="0" t="s">
        <v>26</v>
      </c>
      <c r="P8" s="0" t="s">
        <v>26</v>
      </c>
      <c r="Q8" s="1" t="b">
        <f aca="false">FALSE()</f>
        <v>0</v>
      </c>
      <c r="R8" s="0" t="e">
        <f aca="false">#N/A</f>
        <v>#N/A</v>
      </c>
      <c r="S8" s="0" t="e">
        <f aca="false">#N/A</f>
        <v>#N/A</v>
      </c>
      <c r="T8" s="2" t="s">
        <v>63</v>
      </c>
    </row>
    <row r="9" customFormat="false" ht="15.85" hidden="false" customHeight="true" outlineLevel="0" collapsed="false">
      <c r="A9" s="0" t="s">
        <v>64</v>
      </c>
      <c r="B9" s="0" t="s">
        <v>65</v>
      </c>
      <c r="C9" s="0" t="s">
        <v>66</v>
      </c>
      <c r="D9" s="0" t="s">
        <v>67</v>
      </c>
      <c r="E9" s="0" t="s">
        <v>68</v>
      </c>
      <c r="F9" s="0" t="s">
        <v>25</v>
      </c>
      <c r="G9" s="0" t="s">
        <v>66</v>
      </c>
      <c r="H9" s="0" t="e">
        <f aca="false">#N/A</f>
        <v>#N/A</v>
      </c>
      <c r="I9" s="0" t="e">
        <f aca="false">#N/A</f>
        <v>#N/A</v>
      </c>
      <c r="J9" s="0" t="e">
        <f aca="false">#N/A</f>
        <v>#N/A</v>
      </c>
      <c r="K9" s="0" t="e">
        <f aca="false">#N/A</f>
        <v>#N/A</v>
      </c>
      <c r="L9" s="0" t="e">
        <f aca="false">#N/A</f>
        <v>#N/A</v>
      </c>
      <c r="M9" s="0" t="s">
        <v>26</v>
      </c>
      <c r="N9" s="0" t="s">
        <v>26</v>
      </c>
      <c r="O9" s="0" t="s">
        <v>26</v>
      </c>
      <c r="P9" s="0" t="s">
        <v>26</v>
      </c>
      <c r="Q9" s="1" t="b">
        <f aca="false">FALSE()</f>
        <v>0</v>
      </c>
      <c r="R9" s="0" t="e">
        <f aca="false">#N/A</f>
        <v>#N/A</v>
      </c>
      <c r="S9" s="0" t="e">
        <f aca="false">#N/A</f>
        <v>#N/A</v>
      </c>
      <c r="T9" s="2" t="s">
        <v>69</v>
      </c>
    </row>
    <row r="10" customFormat="false" ht="15.85" hidden="false" customHeight="true" outlineLevel="0" collapsed="false">
      <c r="A10" s="0" t="s">
        <v>70</v>
      </c>
      <c r="B10" s="0" t="s">
        <v>71</v>
      </c>
      <c r="C10" s="0" t="s">
        <v>72</v>
      </c>
      <c r="D10" s="0" t="s">
        <v>73</v>
      </c>
      <c r="E10" s="0" t="s">
        <v>74</v>
      </c>
      <c r="F10" s="0" t="s">
        <v>25</v>
      </c>
      <c r="G10" s="0" t="s">
        <v>72</v>
      </c>
      <c r="H10" s="0" t="e">
        <f aca="false">#N/A</f>
        <v>#N/A</v>
      </c>
      <c r="I10" s="0" t="e">
        <f aca="false">#N/A</f>
        <v>#N/A</v>
      </c>
      <c r="J10" s="0" t="e">
        <f aca="false">#N/A</f>
        <v>#N/A</v>
      </c>
      <c r="K10" s="0" t="e">
        <f aca="false">#N/A</f>
        <v>#N/A</v>
      </c>
      <c r="L10" s="0" t="e">
        <f aca="false">#N/A</f>
        <v>#N/A</v>
      </c>
      <c r="M10" s="0" t="s">
        <v>26</v>
      </c>
      <c r="N10" s="0" t="s">
        <v>26</v>
      </c>
      <c r="O10" s="0" t="s">
        <v>26</v>
      </c>
      <c r="P10" s="0" t="s">
        <v>26</v>
      </c>
      <c r="Q10" s="1" t="b">
        <f aca="false">FALSE()</f>
        <v>0</v>
      </c>
      <c r="R10" s="0" t="e">
        <f aca="false">#N/A</f>
        <v>#N/A</v>
      </c>
      <c r="S10" s="0" t="e">
        <f aca="false">#N/A</f>
        <v>#N/A</v>
      </c>
      <c r="T10" s="2" t="s">
        <v>75</v>
      </c>
    </row>
    <row r="11" customFormat="false" ht="15.85" hidden="false" customHeight="true" outlineLevel="0" collapsed="false">
      <c r="A11" s="0" t="s">
        <v>76</v>
      </c>
      <c r="B11" s="0" t="s">
        <v>77</v>
      </c>
      <c r="C11" s="0" t="s">
        <v>78</v>
      </c>
      <c r="D11" s="0" t="s">
        <v>79</v>
      </c>
      <c r="E11" s="0" t="s">
        <v>80</v>
      </c>
      <c r="F11" s="0" t="s">
        <v>25</v>
      </c>
      <c r="G11" s="0" t="s">
        <v>78</v>
      </c>
      <c r="H11" s="0" t="e">
        <f aca="false">#N/A</f>
        <v>#N/A</v>
      </c>
      <c r="I11" s="0" t="e">
        <f aca="false">#N/A</f>
        <v>#N/A</v>
      </c>
      <c r="J11" s="0" t="e">
        <f aca="false">#N/A</f>
        <v>#N/A</v>
      </c>
      <c r="K11" s="0" t="e">
        <f aca="false">#N/A</f>
        <v>#N/A</v>
      </c>
      <c r="L11" s="0" t="e">
        <f aca="false">#N/A</f>
        <v>#N/A</v>
      </c>
      <c r="M11" s="0" t="s">
        <v>26</v>
      </c>
      <c r="N11" s="0" t="s">
        <v>26</v>
      </c>
      <c r="O11" s="0" t="s">
        <v>26</v>
      </c>
      <c r="P11" s="0" t="s">
        <v>26</v>
      </c>
      <c r="Q11" s="1" t="b">
        <f aca="false">FALSE()</f>
        <v>0</v>
      </c>
      <c r="R11" s="0" t="e">
        <f aca="false">#N/A</f>
        <v>#N/A</v>
      </c>
      <c r="S11" s="0" t="e">
        <f aca="false">#N/A</f>
        <v>#N/A</v>
      </c>
      <c r="T11" s="2" t="s">
        <v>81</v>
      </c>
    </row>
    <row r="12" customFormat="false" ht="15.85" hidden="false" customHeight="true" outlineLevel="0" collapsed="false">
      <c r="A12" s="0" t="s">
        <v>82</v>
      </c>
      <c r="B12" s="0" t="s">
        <v>83</v>
      </c>
      <c r="C12" s="0" t="s">
        <v>84</v>
      </c>
      <c r="D12" s="0" t="s">
        <v>85</v>
      </c>
      <c r="E12" s="0" t="s">
        <v>86</v>
      </c>
      <c r="F12" s="0" t="s">
        <v>25</v>
      </c>
      <c r="G12" s="0" t="s">
        <v>84</v>
      </c>
      <c r="H12" s="0" t="e">
        <f aca="false">#N/A</f>
        <v>#N/A</v>
      </c>
      <c r="I12" s="0" t="e">
        <f aca="false">#N/A</f>
        <v>#N/A</v>
      </c>
      <c r="J12" s="0" t="e">
        <f aca="false">#N/A</f>
        <v>#N/A</v>
      </c>
      <c r="K12" s="0" t="e">
        <f aca="false">#N/A</f>
        <v>#N/A</v>
      </c>
      <c r="L12" s="0" t="e">
        <f aca="false">#N/A</f>
        <v>#N/A</v>
      </c>
      <c r="M12" s="0" t="s">
        <v>26</v>
      </c>
      <c r="N12" s="0" t="s">
        <v>26</v>
      </c>
      <c r="O12" s="0" t="s">
        <v>26</v>
      </c>
      <c r="P12" s="0" t="s">
        <v>26</v>
      </c>
      <c r="Q12" s="1" t="b">
        <f aca="false">FALSE()</f>
        <v>0</v>
      </c>
      <c r="R12" s="0" t="e">
        <f aca="false">#N/A</f>
        <v>#N/A</v>
      </c>
      <c r="S12" s="0" t="e">
        <f aca="false">#N/A</f>
        <v>#N/A</v>
      </c>
      <c r="T12" s="2" t="s">
        <v>87</v>
      </c>
    </row>
    <row r="13" customFormat="false" ht="15.85" hidden="false" customHeight="true" outlineLevel="0" collapsed="false">
      <c r="A13" s="0" t="s">
        <v>88</v>
      </c>
      <c r="B13" s="0" t="s">
        <v>89</v>
      </c>
      <c r="C13" s="0" t="s">
        <v>90</v>
      </c>
      <c r="D13" s="0" t="s">
        <v>91</v>
      </c>
      <c r="E13" s="0" t="s">
        <v>92</v>
      </c>
      <c r="F13" s="0" t="s">
        <v>25</v>
      </c>
      <c r="G13" s="0" t="s">
        <v>90</v>
      </c>
      <c r="H13" s="0" t="e">
        <f aca="false">#N/A</f>
        <v>#N/A</v>
      </c>
      <c r="I13" s="0" t="e">
        <f aca="false">#N/A</f>
        <v>#N/A</v>
      </c>
      <c r="J13" s="0" t="e">
        <f aca="false">#N/A</f>
        <v>#N/A</v>
      </c>
      <c r="K13" s="0" t="e">
        <f aca="false">#N/A</f>
        <v>#N/A</v>
      </c>
      <c r="L13" s="0" t="e">
        <f aca="false">#N/A</f>
        <v>#N/A</v>
      </c>
      <c r="M13" s="0" t="s">
        <v>26</v>
      </c>
      <c r="N13" s="0" t="s">
        <v>26</v>
      </c>
      <c r="O13" s="0" t="s">
        <v>26</v>
      </c>
      <c r="P13" s="0" t="s">
        <v>26</v>
      </c>
      <c r="Q13" s="1" t="b">
        <f aca="false">FALSE()</f>
        <v>0</v>
      </c>
      <c r="R13" s="0" t="e">
        <f aca="false">#N/A</f>
        <v>#N/A</v>
      </c>
      <c r="S13" s="0" t="e">
        <f aca="false">#N/A</f>
        <v>#N/A</v>
      </c>
      <c r="T13" s="2" t="s">
        <v>93</v>
      </c>
    </row>
    <row r="14" customFormat="false" ht="15.85" hidden="false" customHeight="true" outlineLevel="0" collapsed="false">
      <c r="A14" s="0" t="s">
        <v>94</v>
      </c>
      <c r="B14" s="0" t="s">
        <v>95</v>
      </c>
      <c r="C14" s="0" t="s">
        <v>96</v>
      </c>
      <c r="D14" s="0" t="s">
        <v>97</v>
      </c>
      <c r="E14" s="0" t="s">
        <v>98</v>
      </c>
      <c r="F14" s="0" t="s">
        <v>25</v>
      </c>
      <c r="G14" s="0" t="s">
        <v>96</v>
      </c>
      <c r="H14" s="0" t="e">
        <f aca="false">#N/A</f>
        <v>#N/A</v>
      </c>
      <c r="I14" s="0" t="e">
        <f aca="false">#N/A</f>
        <v>#N/A</v>
      </c>
      <c r="J14" s="0" t="e">
        <f aca="false">#N/A</f>
        <v>#N/A</v>
      </c>
      <c r="K14" s="0" t="e">
        <f aca="false">#N/A</f>
        <v>#N/A</v>
      </c>
      <c r="L14" s="0" t="e">
        <f aca="false">#N/A</f>
        <v>#N/A</v>
      </c>
      <c r="M14" s="0" t="s">
        <v>26</v>
      </c>
      <c r="N14" s="0" t="s">
        <v>26</v>
      </c>
      <c r="O14" s="0" t="s">
        <v>26</v>
      </c>
      <c r="P14" s="0" t="s">
        <v>26</v>
      </c>
      <c r="Q14" s="1" t="b">
        <f aca="false">FALSE()</f>
        <v>0</v>
      </c>
      <c r="R14" s="0" t="e">
        <f aca="false">#N/A</f>
        <v>#N/A</v>
      </c>
      <c r="S14" s="0" t="e">
        <f aca="false">#N/A</f>
        <v>#N/A</v>
      </c>
      <c r="T14" s="2" t="s">
        <v>99</v>
      </c>
    </row>
    <row r="15" customFormat="false" ht="15.85" hidden="false" customHeight="true" outlineLevel="0" collapsed="false">
      <c r="A15" s="0" t="s">
        <v>100</v>
      </c>
      <c r="B15" s="0" t="s">
        <v>101</v>
      </c>
      <c r="C15" s="0" t="s">
        <v>102</v>
      </c>
      <c r="D15" s="0" t="s">
        <v>103</v>
      </c>
      <c r="E15" s="0" t="s">
        <v>104</v>
      </c>
      <c r="F15" s="0" t="s">
        <v>25</v>
      </c>
      <c r="G15" s="0" t="s">
        <v>102</v>
      </c>
      <c r="H15" s="0" t="e">
        <f aca="false">#N/A</f>
        <v>#N/A</v>
      </c>
      <c r="I15" s="0" t="e">
        <f aca="false">#N/A</f>
        <v>#N/A</v>
      </c>
      <c r="J15" s="0" t="e">
        <f aca="false">#N/A</f>
        <v>#N/A</v>
      </c>
      <c r="K15" s="0" t="e">
        <f aca="false">#N/A</f>
        <v>#N/A</v>
      </c>
      <c r="L15" s="0" t="e">
        <f aca="false">#N/A</f>
        <v>#N/A</v>
      </c>
      <c r="M15" s="0" t="s">
        <v>26</v>
      </c>
      <c r="N15" s="0" t="s">
        <v>26</v>
      </c>
      <c r="O15" s="0" t="s">
        <v>26</v>
      </c>
      <c r="P15" s="0" t="s">
        <v>26</v>
      </c>
      <c r="Q15" s="1" t="b">
        <f aca="false">FALSE()</f>
        <v>0</v>
      </c>
      <c r="R15" s="0" t="e">
        <f aca="false">#N/A</f>
        <v>#N/A</v>
      </c>
      <c r="S15" s="0" t="e">
        <f aca="false">#N/A</f>
        <v>#N/A</v>
      </c>
      <c r="T15" s="2" t="s">
        <v>105</v>
      </c>
    </row>
    <row r="16" customFormat="false" ht="15.85" hidden="false" customHeight="true" outlineLevel="0" collapsed="false">
      <c r="A16" s="0" t="s">
        <v>106</v>
      </c>
      <c r="B16" s="0" t="s">
        <v>107</v>
      </c>
      <c r="C16" s="0" t="s">
        <v>108</v>
      </c>
      <c r="D16" s="0" t="s">
        <v>109</v>
      </c>
      <c r="E16" s="0" t="s">
        <v>110</v>
      </c>
      <c r="F16" s="0" t="s">
        <v>25</v>
      </c>
      <c r="G16" s="0" t="s">
        <v>108</v>
      </c>
      <c r="H16" s="0" t="e">
        <f aca="false">#N/A</f>
        <v>#N/A</v>
      </c>
      <c r="I16" s="0" t="e">
        <f aca="false">#N/A</f>
        <v>#N/A</v>
      </c>
      <c r="J16" s="0" t="e">
        <f aca="false">#N/A</f>
        <v>#N/A</v>
      </c>
      <c r="K16" s="0" t="e">
        <f aca="false">#N/A</f>
        <v>#N/A</v>
      </c>
      <c r="L16" s="0" t="e">
        <f aca="false">#N/A</f>
        <v>#N/A</v>
      </c>
      <c r="M16" s="0" t="s">
        <v>26</v>
      </c>
      <c r="N16" s="0" t="s">
        <v>26</v>
      </c>
      <c r="O16" s="0" t="s">
        <v>26</v>
      </c>
      <c r="P16" s="0" t="s">
        <v>26</v>
      </c>
      <c r="Q16" s="1" t="b">
        <f aca="false">FALSE()</f>
        <v>0</v>
      </c>
      <c r="R16" s="0" t="e">
        <f aca="false">#N/A</f>
        <v>#N/A</v>
      </c>
      <c r="S16" s="0" t="e">
        <f aca="false">#N/A</f>
        <v>#N/A</v>
      </c>
      <c r="T16" s="2" t="s">
        <v>111</v>
      </c>
    </row>
    <row r="17" customFormat="false" ht="15.85" hidden="false" customHeight="true" outlineLevel="0" collapsed="false">
      <c r="A17" s="0" t="s">
        <v>112</v>
      </c>
      <c r="B17" s="0" t="s">
        <v>113</v>
      </c>
      <c r="C17" s="0" t="s">
        <v>114</v>
      </c>
      <c r="D17" s="0" t="s">
        <v>115</v>
      </c>
      <c r="E17" s="0" t="s">
        <v>116</v>
      </c>
      <c r="F17" s="0" t="s">
        <v>25</v>
      </c>
      <c r="G17" s="0" t="s">
        <v>114</v>
      </c>
      <c r="H17" s="0" t="e">
        <f aca="false">#N/A</f>
        <v>#N/A</v>
      </c>
      <c r="I17" s="0" t="e">
        <f aca="false">#N/A</f>
        <v>#N/A</v>
      </c>
      <c r="J17" s="0" t="e">
        <f aca="false">#N/A</f>
        <v>#N/A</v>
      </c>
      <c r="K17" s="0" t="e">
        <f aca="false">#N/A</f>
        <v>#N/A</v>
      </c>
      <c r="L17" s="0" t="e">
        <f aca="false">#N/A</f>
        <v>#N/A</v>
      </c>
      <c r="M17" s="0" t="s">
        <v>26</v>
      </c>
      <c r="N17" s="0" t="s">
        <v>26</v>
      </c>
      <c r="O17" s="0" t="s">
        <v>26</v>
      </c>
      <c r="P17" s="0" t="s">
        <v>26</v>
      </c>
      <c r="Q17" s="1" t="b">
        <f aca="false">FALSE()</f>
        <v>0</v>
      </c>
      <c r="R17" s="0" t="e">
        <f aca="false">#N/A</f>
        <v>#N/A</v>
      </c>
      <c r="S17" s="0" t="e">
        <f aca="false">#N/A</f>
        <v>#N/A</v>
      </c>
      <c r="T17" s="2" t="s">
        <v>117</v>
      </c>
    </row>
    <row r="18" customFormat="false" ht="15.85" hidden="false" customHeight="true" outlineLevel="0" collapsed="false">
      <c r="A18" s="0" t="s">
        <v>118</v>
      </c>
      <c r="B18" s="0" t="s">
        <v>119</v>
      </c>
      <c r="C18" s="0" t="s">
        <v>120</v>
      </c>
      <c r="D18" s="0" t="s">
        <v>121</v>
      </c>
      <c r="E18" s="0" t="s">
        <v>122</v>
      </c>
      <c r="F18" s="0" t="s">
        <v>25</v>
      </c>
      <c r="G18" s="0" t="s">
        <v>120</v>
      </c>
      <c r="H18" s="0" t="e">
        <f aca="false">#N/A</f>
        <v>#N/A</v>
      </c>
      <c r="I18" s="0" t="e">
        <f aca="false">#N/A</f>
        <v>#N/A</v>
      </c>
      <c r="J18" s="0" t="e">
        <f aca="false">#N/A</f>
        <v>#N/A</v>
      </c>
      <c r="K18" s="0" t="e">
        <f aca="false">#N/A</f>
        <v>#N/A</v>
      </c>
      <c r="L18" s="0" t="e">
        <f aca="false">#N/A</f>
        <v>#N/A</v>
      </c>
      <c r="M18" s="0" t="s">
        <v>26</v>
      </c>
      <c r="N18" s="0" t="s">
        <v>26</v>
      </c>
      <c r="O18" s="0" t="s">
        <v>26</v>
      </c>
      <c r="P18" s="0" t="s">
        <v>26</v>
      </c>
      <c r="Q18" s="1" t="b">
        <f aca="false">FALSE()</f>
        <v>0</v>
      </c>
      <c r="R18" s="0" t="e">
        <f aca="false">#N/A</f>
        <v>#N/A</v>
      </c>
      <c r="S18" s="0" t="e">
        <f aca="false">#N/A</f>
        <v>#N/A</v>
      </c>
      <c r="T18" s="2" t="s">
        <v>123</v>
      </c>
    </row>
    <row r="19" customFormat="false" ht="15.85" hidden="false" customHeight="true" outlineLevel="0" collapsed="false">
      <c r="A19" s="0" t="s">
        <v>124</v>
      </c>
      <c r="B19" s="0" t="s">
        <v>125</v>
      </c>
      <c r="C19" s="0" t="s">
        <v>126</v>
      </c>
      <c r="D19" s="0" t="s">
        <v>127</v>
      </c>
      <c r="E19" s="0" t="s">
        <v>128</v>
      </c>
      <c r="F19" s="0" t="s">
        <v>25</v>
      </c>
      <c r="G19" s="0" t="s">
        <v>126</v>
      </c>
      <c r="H19" s="0" t="e">
        <f aca="false">#N/A</f>
        <v>#N/A</v>
      </c>
      <c r="I19" s="0" t="e">
        <f aca="false">#N/A</f>
        <v>#N/A</v>
      </c>
      <c r="J19" s="0" t="e">
        <f aca="false">#N/A</f>
        <v>#N/A</v>
      </c>
      <c r="K19" s="0" t="e">
        <f aca="false">#N/A</f>
        <v>#N/A</v>
      </c>
      <c r="L19" s="0" t="e">
        <f aca="false">#N/A</f>
        <v>#N/A</v>
      </c>
      <c r="M19" s="0" t="s">
        <v>26</v>
      </c>
      <c r="N19" s="0" t="s">
        <v>26</v>
      </c>
      <c r="O19" s="0" t="s">
        <v>26</v>
      </c>
      <c r="P19" s="0" t="s">
        <v>26</v>
      </c>
      <c r="Q19" s="1" t="b">
        <f aca="false">FALSE()</f>
        <v>0</v>
      </c>
      <c r="R19" s="0" t="e">
        <f aca="false">#N/A</f>
        <v>#N/A</v>
      </c>
      <c r="S19" s="0" t="e">
        <f aca="false">#N/A</f>
        <v>#N/A</v>
      </c>
      <c r="T19" s="2" t="s">
        <v>129</v>
      </c>
    </row>
    <row r="20" customFormat="false" ht="15.85" hidden="false" customHeight="true" outlineLevel="0" collapsed="false">
      <c r="A20" s="0" t="s">
        <v>130</v>
      </c>
      <c r="B20" s="0" t="s">
        <v>131</v>
      </c>
      <c r="C20" s="0" t="s">
        <v>132</v>
      </c>
      <c r="D20" s="0" t="s">
        <v>133</v>
      </c>
      <c r="E20" s="0" t="s">
        <v>134</v>
      </c>
      <c r="F20" s="0" t="s">
        <v>25</v>
      </c>
      <c r="G20" s="0" t="s">
        <v>132</v>
      </c>
      <c r="H20" s="0" t="e">
        <f aca="false">#N/A</f>
        <v>#N/A</v>
      </c>
      <c r="I20" s="0" t="e">
        <f aca="false">#N/A</f>
        <v>#N/A</v>
      </c>
      <c r="J20" s="0" t="e">
        <f aca="false">#N/A</f>
        <v>#N/A</v>
      </c>
      <c r="K20" s="0" t="e">
        <f aca="false">#N/A</f>
        <v>#N/A</v>
      </c>
      <c r="L20" s="0" t="e">
        <f aca="false">#N/A</f>
        <v>#N/A</v>
      </c>
      <c r="M20" s="0" t="s">
        <v>26</v>
      </c>
      <c r="N20" s="0" t="s">
        <v>26</v>
      </c>
      <c r="O20" s="0" t="s">
        <v>26</v>
      </c>
      <c r="P20" s="0" t="s">
        <v>26</v>
      </c>
      <c r="Q20" s="1" t="b">
        <f aca="false">FALSE()</f>
        <v>0</v>
      </c>
      <c r="R20" s="0" t="e">
        <f aca="false">#N/A</f>
        <v>#N/A</v>
      </c>
      <c r="S20" s="0" t="e">
        <f aca="false">#N/A</f>
        <v>#N/A</v>
      </c>
      <c r="T20" s="2" t="s">
        <v>135</v>
      </c>
    </row>
    <row r="21" customFormat="false" ht="15.85" hidden="false" customHeight="true" outlineLevel="0" collapsed="false">
      <c r="A21" s="0" t="s">
        <v>136</v>
      </c>
      <c r="B21" s="0" t="s">
        <v>137</v>
      </c>
      <c r="C21" s="0" t="s">
        <v>138</v>
      </c>
      <c r="D21" s="0" t="s">
        <v>139</v>
      </c>
      <c r="E21" s="0" t="s">
        <v>140</v>
      </c>
      <c r="F21" s="0" t="s">
        <v>25</v>
      </c>
      <c r="G21" s="0" t="s">
        <v>138</v>
      </c>
      <c r="H21" s="0" t="e">
        <f aca="false">#N/A</f>
        <v>#N/A</v>
      </c>
      <c r="I21" s="0" t="e">
        <f aca="false">#N/A</f>
        <v>#N/A</v>
      </c>
      <c r="J21" s="0" t="e">
        <f aca="false">#N/A</f>
        <v>#N/A</v>
      </c>
      <c r="K21" s="0" t="e">
        <f aca="false">#N/A</f>
        <v>#N/A</v>
      </c>
      <c r="L21" s="0" t="e">
        <f aca="false">#N/A</f>
        <v>#N/A</v>
      </c>
      <c r="M21" s="0" t="s">
        <v>26</v>
      </c>
      <c r="N21" s="0" t="s">
        <v>26</v>
      </c>
      <c r="O21" s="0" t="s">
        <v>26</v>
      </c>
      <c r="P21" s="0" t="s">
        <v>26</v>
      </c>
      <c r="Q21" s="1" t="b">
        <f aca="false">FALSE()</f>
        <v>0</v>
      </c>
      <c r="R21" s="0" t="e">
        <f aca="false">#N/A</f>
        <v>#N/A</v>
      </c>
      <c r="S21" s="0" t="e">
        <f aca="false">#N/A</f>
        <v>#N/A</v>
      </c>
      <c r="T21" s="2" t="s">
        <v>141</v>
      </c>
    </row>
    <row r="22" customFormat="false" ht="15.85" hidden="false" customHeight="true" outlineLevel="0" collapsed="false">
      <c r="A22" s="0" t="s">
        <v>142</v>
      </c>
      <c r="B22" s="0" t="s">
        <v>143</v>
      </c>
      <c r="C22" s="0" t="s">
        <v>144</v>
      </c>
      <c r="D22" s="0" t="s">
        <v>145</v>
      </c>
      <c r="E22" s="0" t="s">
        <v>140</v>
      </c>
      <c r="F22" s="0" t="s">
        <v>25</v>
      </c>
      <c r="G22" s="0" t="s">
        <v>144</v>
      </c>
      <c r="H22" s="0" t="e">
        <f aca="false">#N/A</f>
        <v>#N/A</v>
      </c>
      <c r="I22" s="0" t="e">
        <f aca="false">#N/A</f>
        <v>#N/A</v>
      </c>
      <c r="J22" s="0" t="e">
        <f aca="false">#N/A</f>
        <v>#N/A</v>
      </c>
      <c r="K22" s="0" t="e">
        <f aca="false">#N/A</f>
        <v>#N/A</v>
      </c>
      <c r="L22" s="0" t="e">
        <f aca="false">#N/A</f>
        <v>#N/A</v>
      </c>
      <c r="M22" s="0" t="s">
        <v>26</v>
      </c>
      <c r="N22" s="0" t="s">
        <v>26</v>
      </c>
      <c r="O22" s="0" t="s">
        <v>26</v>
      </c>
      <c r="P22" s="0" t="s">
        <v>26</v>
      </c>
      <c r="Q22" s="1" t="b">
        <f aca="false">FALSE()</f>
        <v>0</v>
      </c>
      <c r="R22" s="0" t="e">
        <f aca="false">#N/A</f>
        <v>#N/A</v>
      </c>
      <c r="S22" s="0" t="e">
        <f aca="false">#N/A</f>
        <v>#N/A</v>
      </c>
      <c r="T22" s="2" t="s">
        <v>146</v>
      </c>
    </row>
    <row r="23" customFormat="false" ht="15.85" hidden="false" customHeight="true" outlineLevel="0" collapsed="false">
      <c r="A23" s="0" t="s">
        <v>147</v>
      </c>
      <c r="B23" s="0" t="s">
        <v>148</v>
      </c>
      <c r="C23" s="0" t="s">
        <v>149</v>
      </c>
      <c r="D23" s="0" t="s">
        <v>150</v>
      </c>
      <c r="E23" s="0" t="s">
        <v>151</v>
      </c>
      <c r="F23" s="0" t="s">
        <v>25</v>
      </c>
      <c r="G23" s="0" t="s">
        <v>149</v>
      </c>
      <c r="H23" s="0" t="e">
        <f aca="false">#N/A</f>
        <v>#N/A</v>
      </c>
      <c r="I23" s="0" t="e">
        <f aca="false">#N/A</f>
        <v>#N/A</v>
      </c>
      <c r="J23" s="0" t="e">
        <f aca="false">#N/A</f>
        <v>#N/A</v>
      </c>
      <c r="K23" s="0" t="e">
        <f aca="false">#N/A</f>
        <v>#N/A</v>
      </c>
      <c r="L23" s="0" t="e">
        <f aca="false">#N/A</f>
        <v>#N/A</v>
      </c>
      <c r="M23" s="0" t="s">
        <v>26</v>
      </c>
      <c r="N23" s="0" t="s">
        <v>26</v>
      </c>
      <c r="O23" s="0" t="s">
        <v>26</v>
      </c>
      <c r="P23" s="0" t="s">
        <v>26</v>
      </c>
      <c r="Q23" s="1" t="b">
        <f aca="false">FALSE()</f>
        <v>0</v>
      </c>
      <c r="R23" s="0" t="e">
        <f aca="false">#N/A</f>
        <v>#N/A</v>
      </c>
      <c r="S23" s="0" t="e">
        <f aca="false">#N/A</f>
        <v>#N/A</v>
      </c>
      <c r="T23" s="2" t="s">
        <v>152</v>
      </c>
    </row>
    <row r="24" customFormat="false" ht="15.85" hidden="false" customHeight="true" outlineLevel="0" collapsed="false">
      <c r="A24" s="0" t="s">
        <v>153</v>
      </c>
      <c r="B24" s="0" t="s">
        <v>154</v>
      </c>
      <c r="C24" s="0" t="s">
        <v>155</v>
      </c>
      <c r="D24" s="0" t="s">
        <v>156</v>
      </c>
      <c r="E24" s="0" t="s">
        <v>157</v>
      </c>
      <c r="F24" s="0" t="s">
        <v>25</v>
      </c>
      <c r="G24" s="0" t="s">
        <v>155</v>
      </c>
      <c r="H24" s="0" t="e">
        <f aca="false">#N/A</f>
        <v>#N/A</v>
      </c>
      <c r="I24" s="0" t="e">
        <f aca="false">#N/A</f>
        <v>#N/A</v>
      </c>
      <c r="J24" s="0" t="e">
        <f aca="false">#N/A</f>
        <v>#N/A</v>
      </c>
      <c r="K24" s="0" t="e">
        <f aca="false">#N/A</f>
        <v>#N/A</v>
      </c>
      <c r="L24" s="0" t="e">
        <f aca="false">#N/A</f>
        <v>#N/A</v>
      </c>
      <c r="M24" s="0" t="s">
        <v>26</v>
      </c>
      <c r="N24" s="0" t="s">
        <v>26</v>
      </c>
      <c r="O24" s="0" t="s">
        <v>26</v>
      </c>
      <c r="P24" s="0" t="s">
        <v>26</v>
      </c>
      <c r="Q24" s="1" t="b">
        <f aca="false">FALSE()</f>
        <v>0</v>
      </c>
      <c r="R24" s="0" t="e">
        <f aca="false">#N/A</f>
        <v>#N/A</v>
      </c>
      <c r="S24" s="0" t="e">
        <f aca="false">#N/A</f>
        <v>#N/A</v>
      </c>
      <c r="T24" s="2" t="s">
        <v>158</v>
      </c>
    </row>
    <row r="25" customFormat="false" ht="15.85" hidden="false" customHeight="true" outlineLevel="0" collapsed="false">
      <c r="A25" s="0" t="s">
        <v>159</v>
      </c>
      <c r="B25" s="0" t="s">
        <v>160</v>
      </c>
      <c r="C25" s="0" t="s">
        <v>161</v>
      </c>
      <c r="D25" s="0" t="s">
        <v>162</v>
      </c>
      <c r="E25" s="0" t="s">
        <v>163</v>
      </c>
      <c r="F25" s="0" t="s">
        <v>25</v>
      </c>
      <c r="G25" s="0" t="s">
        <v>161</v>
      </c>
      <c r="H25" s="0" t="e">
        <f aca="false">#N/A</f>
        <v>#N/A</v>
      </c>
      <c r="I25" s="0" t="e">
        <f aca="false">#N/A</f>
        <v>#N/A</v>
      </c>
      <c r="J25" s="0" t="e">
        <f aca="false">#N/A</f>
        <v>#N/A</v>
      </c>
      <c r="K25" s="0" t="e">
        <f aca="false">#N/A</f>
        <v>#N/A</v>
      </c>
      <c r="L25" s="0" t="e">
        <f aca="false">#N/A</f>
        <v>#N/A</v>
      </c>
      <c r="M25" s="0" t="s">
        <v>26</v>
      </c>
      <c r="N25" s="0" t="s">
        <v>26</v>
      </c>
      <c r="O25" s="0" t="s">
        <v>26</v>
      </c>
      <c r="P25" s="0" t="s">
        <v>26</v>
      </c>
      <c r="Q25" s="1" t="b">
        <f aca="false">FALSE()</f>
        <v>0</v>
      </c>
      <c r="R25" s="0" t="e">
        <f aca="false">#N/A</f>
        <v>#N/A</v>
      </c>
      <c r="S25" s="0" t="e">
        <f aca="false">#N/A</f>
        <v>#N/A</v>
      </c>
      <c r="T25" s="2" t="s">
        <v>164</v>
      </c>
    </row>
    <row r="26" customFormat="false" ht="15.85" hidden="false" customHeight="true" outlineLevel="0" collapsed="false">
      <c r="A26" s="0" t="s">
        <v>165</v>
      </c>
      <c r="B26" s="0" t="s">
        <v>166</v>
      </c>
      <c r="C26" s="0" t="s">
        <v>167</v>
      </c>
      <c r="D26" s="0" t="s">
        <v>168</v>
      </c>
      <c r="E26" s="0" t="s">
        <v>169</v>
      </c>
      <c r="F26" s="0" t="s">
        <v>25</v>
      </c>
      <c r="G26" s="0" t="s">
        <v>167</v>
      </c>
      <c r="H26" s="0" t="e">
        <f aca="false">#N/A</f>
        <v>#N/A</v>
      </c>
      <c r="I26" s="0" t="e">
        <f aca="false">#N/A</f>
        <v>#N/A</v>
      </c>
      <c r="J26" s="0" t="e">
        <f aca="false">#N/A</f>
        <v>#N/A</v>
      </c>
      <c r="K26" s="0" t="e">
        <f aca="false">#N/A</f>
        <v>#N/A</v>
      </c>
      <c r="L26" s="0" t="e">
        <f aca="false">#N/A</f>
        <v>#N/A</v>
      </c>
      <c r="M26" s="0" t="s">
        <v>26</v>
      </c>
      <c r="N26" s="0" t="s">
        <v>26</v>
      </c>
      <c r="O26" s="0" t="s">
        <v>26</v>
      </c>
      <c r="P26" s="0" t="s">
        <v>26</v>
      </c>
      <c r="Q26" s="1" t="b">
        <f aca="false">FALSE()</f>
        <v>0</v>
      </c>
      <c r="R26" s="0" t="e">
        <f aca="false">#N/A</f>
        <v>#N/A</v>
      </c>
      <c r="S26" s="0" t="e">
        <f aca="false">#N/A</f>
        <v>#N/A</v>
      </c>
      <c r="T26" s="2" t="s">
        <v>170</v>
      </c>
    </row>
    <row r="27" customFormat="false" ht="15.85" hidden="false" customHeight="true" outlineLevel="0" collapsed="false">
      <c r="A27" s="0" t="s">
        <v>171</v>
      </c>
      <c r="B27" s="0" t="s">
        <v>172</v>
      </c>
      <c r="C27" s="0" t="s">
        <v>173</v>
      </c>
      <c r="D27" s="0" t="s">
        <v>174</v>
      </c>
      <c r="E27" s="0" t="s">
        <v>175</v>
      </c>
      <c r="F27" s="0" t="s">
        <v>25</v>
      </c>
      <c r="G27" s="0" t="s">
        <v>173</v>
      </c>
      <c r="H27" s="0" t="e">
        <f aca="false">#N/A</f>
        <v>#N/A</v>
      </c>
      <c r="I27" s="0" t="e">
        <f aca="false">#N/A</f>
        <v>#N/A</v>
      </c>
      <c r="J27" s="0" t="e">
        <f aca="false">#N/A</f>
        <v>#N/A</v>
      </c>
      <c r="K27" s="0" t="e">
        <f aca="false">#N/A</f>
        <v>#N/A</v>
      </c>
      <c r="L27" s="0" t="e">
        <f aca="false">#N/A</f>
        <v>#N/A</v>
      </c>
      <c r="M27" s="0" t="s">
        <v>26</v>
      </c>
      <c r="N27" s="0" t="s">
        <v>26</v>
      </c>
      <c r="O27" s="0" t="s">
        <v>26</v>
      </c>
      <c r="P27" s="0" t="s">
        <v>26</v>
      </c>
      <c r="Q27" s="1" t="b">
        <f aca="false">FALSE()</f>
        <v>0</v>
      </c>
      <c r="R27" s="0" t="e">
        <f aca="false">#N/A</f>
        <v>#N/A</v>
      </c>
      <c r="S27" s="0" t="e">
        <f aca="false">#N/A</f>
        <v>#N/A</v>
      </c>
      <c r="T27" s="2" t="s">
        <v>176</v>
      </c>
    </row>
    <row r="28" customFormat="false" ht="15.85" hidden="false" customHeight="true" outlineLevel="0" collapsed="false">
      <c r="A28" s="0" t="s">
        <v>177</v>
      </c>
      <c r="B28" s="0" t="s">
        <v>178</v>
      </c>
      <c r="C28" s="0" t="s">
        <v>179</v>
      </c>
      <c r="D28" s="0" t="s">
        <v>180</v>
      </c>
      <c r="E28" s="0" t="s">
        <v>181</v>
      </c>
      <c r="F28" s="0" t="s">
        <v>25</v>
      </c>
      <c r="G28" s="0" t="s">
        <v>179</v>
      </c>
      <c r="H28" s="0" t="e">
        <f aca="false">#N/A</f>
        <v>#N/A</v>
      </c>
      <c r="I28" s="0" t="e">
        <f aca="false">#N/A</f>
        <v>#N/A</v>
      </c>
      <c r="J28" s="0" t="e">
        <f aca="false">#N/A</f>
        <v>#N/A</v>
      </c>
      <c r="K28" s="0" t="e">
        <f aca="false">#N/A</f>
        <v>#N/A</v>
      </c>
      <c r="L28" s="0" t="e">
        <f aca="false">#N/A</f>
        <v>#N/A</v>
      </c>
      <c r="M28" s="0" t="s">
        <v>26</v>
      </c>
      <c r="N28" s="0" t="s">
        <v>26</v>
      </c>
      <c r="O28" s="0" t="s">
        <v>26</v>
      </c>
      <c r="P28" s="0" t="s">
        <v>26</v>
      </c>
      <c r="Q28" s="1" t="b">
        <f aca="false">FALSE()</f>
        <v>0</v>
      </c>
      <c r="R28" s="0" t="e">
        <f aca="false">#N/A</f>
        <v>#N/A</v>
      </c>
      <c r="S28" s="0" t="e">
        <f aca="false">#N/A</f>
        <v>#N/A</v>
      </c>
      <c r="T28" s="2" t="s">
        <v>182</v>
      </c>
    </row>
    <row r="29" customFormat="false" ht="15.85" hidden="false" customHeight="true" outlineLevel="0" collapsed="false">
      <c r="A29" s="0" t="s">
        <v>183</v>
      </c>
      <c r="B29" s="0" t="s">
        <v>184</v>
      </c>
      <c r="C29" s="0" t="s">
        <v>185</v>
      </c>
      <c r="D29" s="0" t="s">
        <v>186</v>
      </c>
      <c r="E29" s="0" t="s">
        <v>187</v>
      </c>
      <c r="F29" s="0" t="s">
        <v>25</v>
      </c>
      <c r="G29" s="0" t="s">
        <v>185</v>
      </c>
      <c r="H29" s="0" t="e">
        <f aca="false">#N/A</f>
        <v>#N/A</v>
      </c>
      <c r="I29" s="0" t="e">
        <f aca="false">#N/A</f>
        <v>#N/A</v>
      </c>
      <c r="J29" s="0" t="e">
        <f aca="false">#N/A</f>
        <v>#N/A</v>
      </c>
      <c r="K29" s="0" t="e">
        <f aca="false">#N/A</f>
        <v>#N/A</v>
      </c>
      <c r="L29" s="0" t="e">
        <f aca="false">#N/A</f>
        <v>#N/A</v>
      </c>
      <c r="M29" s="0" t="s">
        <v>26</v>
      </c>
      <c r="N29" s="0" t="s">
        <v>26</v>
      </c>
      <c r="O29" s="0" t="s">
        <v>26</v>
      </c>
      <c r="P29" s="0" t="s">
        <v>26</v>
      </c>
      <c r="Q29" s="1" t="b">
        <f aca="false">FALSE()</f>
        <v>0</v>
      </c>
      <c r="R29" s="0" t="e">
        <f aca="false">#N/A</f>
        <v>#N/A</v>
      </c>
      <c r="S29" s="0" t="e">
        <f aca="false">#N/A</f>
        <v>#N/A</v>
      </c>
      <c r="T29" s="2" t="s">
        <v>188</v>
      </c>
    </row>
    <row r="30" customFormat="false" ht="15.85" hidden="false" customHeight="true" outlineLevel="0" collapsed="false">
      <c r="A30" s="0" t="s">
        <v>189</v>
      </c>
      <c r="B30" s="0" t="s">
        <v>190</v>
      </c>
      <c r="C30" s="0" t="s">
        <v>191</v>
      </c>
      <c r="D30" s="0" t="s">
        <v>192</v>
      </c>
      <c r="E30" s="0" t="s">
        <v>187</v>
      </c>
      <c r="F30" s="0" t="s">
        <v>25</v>
      </c>
      <c r="G30" s="0" t="s">
        <v>191</v>
      </c>
      <c r="H30" s="0" t="e">
        <f aca="false">#N/A</f>
        <v>#N/A</v>
      </c>
      <c r="I30" s="0" t="e">
        <f aca="false">#N/A</f>
        <v>#N/A</v>
      </c>
      <c r="J30" s="0" t="e">
        <f aca="false">#N/A</f>
        <v>#N/A</v>
      </c>
      <c r="K30" s="0" t="e">
        <f aca="false">#N/A</f>
        <v>#N/A</v>
      </c>
      <c r="L30" s="0" t="e">
        <f aca="false">#N/A</f>
        <v>#N/A</v>
      </c>
      <c r="M30" s="0" t="s">
        <v>26</v>
      </c>
      <c r="N30" s="0" t="s">
        <v>26</v>
      </c>
      <c r="O30" s="0" t="s">
        <v>26</v>
      </c>
      <c r="P30" s="0" t="s">
        <v>26</v>
      </c>
      <c r="Q30" s="1" t="b">
        <f aca="false">FALSE()</f>
        <v>0</v>
      </c>
      <c r="R30" s="0" t="e">
        <f aca="false">#N/A</f>
        <v>#N/A</v>
      </c>
      <c r="S30" s="0" t="e">
        <f aca="false">#N/A</f>
        <v>#N/A</v>
      </c>
      <c r="T30" s="2" t="s">
        <v>193</v>
      </c>
    </row>
    <row r="31" customFormat="false" ht="15.85" hidden="false" customHeight="true" outlineLevel="0" collapsed="false">
      <c r="A31" s="0" t="s">
        <v>194</v>
      </c>
      <c r="B31" s="0" t="s">
        <v>195</v>
      </c>
      <c r="C31" s="0" t="s">
        <v>196</v>
      </c>
      <c r="D31" s="0" t="s">
        <v>197</v>
      </c>
      <c r="E31" s="0" t="s">
        <v>198</v>
      </c>
      <c r="F31" s="0" t="s">
        <v>25</v>
      </c>
      <c r="G31" s="0" t="s">
        <v>196</v>
      </c>
      <c r="H31" s="0" t="e">
        <f aca="false">#N/A</f>
        <v>#N/A</v>
      </c>
      <c r="I31" s="0" t="e">
        <f aca="false">#N/A</f>
        <v>#N/A</v>
      </c>
      <c r="J31" s="0" t="e">
        <f aca="false">#N/A</f>
        <v>#N/A</v>
      </c>
      <c r="K31" s="0" t="e">
        <f aca="false">#N/A</f>
        <v>#N/A</v>
      </c>
      <c r="L31" s="0" t="e">
        <f aca="false">#N/A</f>
        <v>#N/A</v>
      </c>
      <c r="M31" s="0" t="s">
        <v>26</v>
      </c>
      <c r="N31" s="0" t="s">
        <v>26</v>
      </c>
      <c r="O31" s="0" t="s">
        <v>26</v>
      </c>
      <c r="P31" s="0" t="s">
        <v>26</v>
      </c>
      <c r="Q31" s="1" t="b">
        <f aca="false">FALSE()</f>
        <v>0</v>
      </c>
      <c r="R31" s="0" t="e">
        <f aca="false">#N/A</f>
        <v>#N/A</v>
      </c>
      <c r="S31" s="0" t="e">
        <f aca="false">#N/A</f>
        <v>#N/A</v>
      </c>
      <c r="T31" s="2" t="s">
        <v>199</v>
      </c>
    </row>
    <row r="32" customFormat="false" ht="15.85" hidden="false" customHeight="true" outlineLevel="0" collapsed="false">
      <c r="A32" s="0" t="s">
        <v>200</v>
      </c>
      <c r="B32" s="0" t="s">
        <v>201</v>
      </c>
      <c r="C32" s="0" t="s">
        <v>202</v>
      </c>
      <c r="D32" s="0" t="s">
        <v>203</v>
      </c>
      <c r="E32" s="0" t="s">
        <v>204</v>
      </c>
      <c r="F32" s="0" t="s">
        <v>25</v>
      </c>
      <c r="G32" s="0" t="s">
        <v>202</v>
      </c>
      <c r="H32" s="0" t="e">
        <f aca="false">#N/A</f>
        <v>#N/A</v>
      </c>
      <c r="I32" s="0" t="e">
        <f aca="false">#N/A</f>
        <v>#N/A</v>
      </c>
      <c r="J32" s="0" t="e">
        <f aca="false">#N/A</f>
        <v>#N/A</v>
      </c>
      <c r="K32" s="0" t="e">
        <f aca="false">#N/A</f>
        <v>#N/A</v>
      </c>
      <c r="L32" s="0" t="e">
        <f aca="false">#N/A</f>
        <v>#N/A</v>
      </c>
      <c r="M32" s="0" t="s">
        <v>26</v>
      </c>
      <c r="N32" s="0" t="s">
        <v>26</v>
      </c>
      <c r="O32" s="0" t="s">
        <v>26</v>
      </c>
      <c r="P32" s="0" t="s">
        <v>26</v>
      </c>
      <c r="Q32" s="1" t="b">
        <f aca="false">FALSE()</f>
        <v>0</v>
      </c>
      <c r="R32" s="0" t="e">
        <f aca="false">#N/A</f>
        <v>#N/A</v>
      </c>
      <c r="S32" s="0" t="e">
        <f aca="false">#N/A</f>
        <v>#N/A</v>
      </c>
      <c r="T32" s="2" t="s">
        <v>205</v>
      </c>
    </row>
    <row r="33" customFormat="false" ht="15.85" hidden="false" customHeight="true" outlineLevel="0" collapsed="false">
      <c r="A33" s="0" t="s">
        <v>206</v>
      </c>
      <c r="B33" s="0" t="s">
        <v>207</v>
      </c>
      <c r="C33" s="0" t="s">
        <v>208</v>
      </c>
      <c r="D33" s="0" t="s">
        <v>209</v>
      </c>
      <c r="E33" s="0" t="s">
        <v>210</v>
      </c>
      <c r="F33" s="0" t="s">
        <v>25</v>
      </c>
      <c r="G33" s="0" t="s">
        <v>208</v>
      </c>
      <c r="H33" s="0" t="e">
        <f aca="false">#N/A</f>
        <v>#N/A</v>
      </c>
      <c r="I33" s="0" t="e">
        <f aca="false">#N/A</f>
        <v>#N/A</v>
      </c>
      <c r="J33" s="0" t="e">
        <f aca="false">#N/A</f>
        <v>#N/A</v>
      </c>
      <c r="K33" s="0" t="e">
        <f aca="false">#N/A</f>
        <v>#N/A</v>
      </c>
      <c r="L33" s="0" t="e">
        <f aca="false">#N/A</f>
        <v>#N/A</v>
      </c>
      <c r="M33" s="0" t="s">
        <v>26</v>
      </c>
      <c r="N33" s="0" t="s">
        <v>26</v>
      </c>
      <c r="O33" s="0" t="s">
        <v>26</v>
      </c>
      <c r="P33" s="0" t="s">
        <v>26</v>
      </c>
      <c r="Q33" s="1" t="b">
        <f aca="false">FALSE()</f>
        <v>0</v>
      </c>
      <c r="R33" s="0" t="e">
        <f aca="false">#N/A</f>
        <v>#N/A</v>
      </c>
      <c r="S33" s="0" t="e">
        <f aca="false">#N/A</f>
        <v>#N/A</v>
      </c>
      <c r="T33" s="2" t="s">
        <v>211</v>
      </c>
    </row>
    <row r="34" customFormat="false" ht="15.85" hidden="false" customHeight="true" outlineLevel="0" collapsed="false">
      <c r="A34" s="0" t="s">
        <v>212</v>
      </c>
      <c r="B34" s="0" t="s">
        <v>213</v>
      </c>
      <c r="C34" s="0" t="s">
        <v>214</v>
      </c>
      <c r="D34" s="0" t="s">
        <v>215</v>
      </c>
      <c r="E34" s="0" t="s">
        <v>216</v>
      </c>
      <c r="F34" s="0" t="s">
        <v>25</v>
      </c>
      <c r="G34" s="0" t="s">
        <v>214</v>
      </c>
      <c r="H34" s="0" t="e">
        <f aca="false">#N/A</f>
        <v>#N/A</v>
      </c>
      <c r="I34" s="0" t="e">
        <f aca="false">#N/A</f>
        <v>#N/A</v>
      </c>
      <c r="J34" s="0" t="e">
        <f aca="false">#N/A</f>
        <v>#N/A</v>
      </c>
      <c r="K34" s="0" t="e">
        <f aca="false">#N/A</f>
        <v>#N/A</v>
      </c>
      <c r="L34" s="0" t="e">
        <f aca="false">#N/A</f>
        <v>#N/A</v>
      </c>
      <c r="M34" s="0" t="s">
        <v>26</v>
      </c>
      <c r="N34" s="0" t="s">
        <v>26</v>
      </c>
      <c r="O34" s="0" t="s">
        <v>26</v>
      </c>
      <c r="P34" s="0" t="s">
        <v>26</v>
      </c>
      <c r="Q34" s="1" t="b">
        <f aca="false">FALSE()</f>
        <v>0</v>
      </c>
      <c r="R34" s="0" t="e">
        <f aca="false">#N/A</f>
        <v>#N/A</v>
      </c>
      <c r="S34" s="0" t="e">
        <f aca="false">#N/A</f>
        <v>#N/A</v>
      </c>
      <c r="T34" s="2" t="s">
        <v>217</v>
      </c>
    </row>
    <row r="35" customFormat="false" ht="15.85" hidden="false" customHeight="true" outlineLevel="0" collapsed="false">
      <c r="A35" s="0" t="s">
        <v>218</v>
      </c>
      <c r="B35" s="0" t="s">
        <v>219</v>
      </c>
      <c r="C35" s="0" t="s">
        <v>220</v>
      </c>
      <c r="D35" s="0" t="s">
        <v>221</v>
      </c>
      <c r="E35" s="0" t="s">
        <v>222</v>
      </c>
      <c r="F35" s="0" t="s">
        <v>25</v>
      </c>
      <c r="G35" s="0" t="s">
        <v>220</v>
      </c>
      <c r="H35" s="0" t="e">
        <f aca="false">#N/A</f>
        <v>#N/A</v>
      </c>
      <c r="I35" s="0" t="e">
        <f aca="false">#N/A</f>
        <v>#N/A</v>
      </c>
      <c r="J35" s="0" t="e">
        <f aca="false">#N/A</f>
        <v>#N/A</v>
      </c>
      <c r="K35" s="0" t="e">
        <f aca="false">#N/A</f>
        <v>#N/A</v>
      </c>
      <c r="L35" s="0" t="e">
        <f aca="false">#N/A</f>
        <v>#N/A</v>
      </c>
      <c r="M35" s="0" t="s">
        <v>26</v>
      </c>
      <c r="N35" s="0" t="s">
        <v>26</v>
      </c>
      <c r="O35" s="0" t="s">
        <v>26</v>
      </c>
      <c r="P35" s="0" t="s">
        <v>26</v>
      </c>
      <c r="Q35" s="1" t="b">
        <f aca="false">FALSE()</f>
        <v>0</v>
      </c>
      <c r="R35" s="0" t="e">
        <f aca="false">#N/A</f>
        <v>#N/A</v>
      </c>
      <c r="S35" s="0" t="e">
        <f aca="false">#N/A</f>
        <v>#N/A</v>
      </c>
      <c r="T35" s="2" t="s">
        <v>223</v>
      </c>
    </row>
    <row r="36" customFormat="false" ht="15.85" hidden="false" customHeight="true" outlineLevel="0" collapsed="false">
      <c r="A36" s="0" t="s">
        <v>224</v>
      </c>
      <c r="B36" s="0" t="s">
        <v>225</v>
      </c>
      <c r="C36" s="0" t="s">
        <v>226</v>
      </c>
      <c r="D36" s="0" t="s">
        <v>227</v>
      </c>
      <c r="E36" s="0" t="s">
        <v>228</v>
      </c>
      <c r="F36" s="0" t="s">
        <v>25</v>
      </c>
      <c r="G36" s="0" t="s">
        <v>226</v>
      </c>
      <c r="H36" s="0" t="e">
        <f aca="false">#N/A</f>
        <v>#N/A</v>
      </c>
      <c r="I36" s="0" t="e">
        <f aca="false">#N/A</f>
        <v>#N/A</v>
      </c>
      <c r="J36" s="0" t="e">
        <f aca="false">#N/A</f>
        <v>#N/A</v>
      </c>
      <c r="K36" s="0" t="e">
        <f aca="false">#N/A</f>
        <v>#N/A</v>
      </c>
      <c r="L36" s="0" t="e">
        <f aca="false">#N/A</f>
        <v>#N/A</v>
      </c>
      <c r="M36" s="0" t="s">
        <v>26</v>
      </c>
      <c r="N36" s="0" t="s">
        <v>26</v>
      </c>
      <c r="O36" s="0" t="s">
        <v>26</v>
      </c>
      <c r="P36" s="0" t="s">
        <v>26</v>
      </c>
      <c r="Q36" s="1" t="b">
        <f aca="false">FALSE()</f>
        <v>0</v>
      </c>
      <c r="R36" s="0" t="e">
        <f aca="false">#N/A</f>
        <v>#N/A</v>
      </c>
      <c r="S36" s="0" t="e">
        <f aca="false">#N/A</f>
        <v>#N/A</v>
      </c>
      <c r="T36" s="2" t="s">
        <v>229</v>
      </c>
    </row>
    <row r="37" customFormat="false" ht="15.85" hidden="false" customHeight="true" outlineLevel="0" collapsed="false">
      <c r="A37" s="0" t="s">
        <v>230</v>
      </c>
      <c r="B37" s="0" t="s">
        <v>231</v>
      </c>
      <c r="C37" s="0" t="s">
        <v>232</v>
      </c>
      <c r="D37" s="0" t="s">
        <v>233</v>
      </c>
      <c r="E37" s="0" t="s">
        <v>234</v>
      </c>
      <c r="F37" s="0" t="s">
        <v>25</v>
      </c>
      <c r="G37" s="0" t="s">
        <v>232</v>
      </c>
      <c r="H37" s="0" t="e">
        <f aca="false">#N/A</f>
        <v>#N/A</v>
      </c>
      <c r="I37" s="0" t="e">
        <f aca="false">#N/A</f>
        <v>#N/A</v>
      </c>
      <c r="J37" s="0" t="e">
        <f aca="false">#N/A</f>
        <v>#N/A</v>
      </c>
      <c r="K37" s="0" t="e">
        <f aca="false">#N/A</f>
        <v>#N/A</v>
      </c>
      <c r="L37" s="0" t="e">
        <f aca="false">#N/A</f>
        <v>#N/A</v>
      </c>
      <c r="M37" s="0" t="s">
        <v>235</v>
      </c>
      <c r="N37" s="0" t="s">
        <v>26</v>
      </c>
      <c r="O37" s="0" t="s">
        <v>235</v>
      </c>
      <c r="P37" s="0" t="s">
        <v>26</v>
      </c>
      <c r="Q37" s="1" t="b">
        <f aca="false">TRUE()</f>
        <v>1</v>
      </c>
      <c r="R37" s="0" t="s">
        <v>236</v>
      </c>
      <c r="S37" s="0" t="e">
        <f aca="false">#N/A</f>
        <v>#N/A</v>
      </c>
      <c r="T37" s="2" t="s">
        <v>237</v>
      </c>
    </row>
    <row r="38" customFormat="false" ht="15.85" hidden="false" customHeight="true" outlineLevel="0" collapsed="false">
      <c r="A38" s="0" t="s">
        <v>238</v>
      </c>
      <c r="B38" s="0" t="s">
        <v>239</v>
      </c>
      <c r="C38" s="0" t="s">
        <v>240</v>
      </c>
      <c r="D38" s="0" t="s">
        <v>241</v>
      </c>
      <c r="E38" s="0" t="s">
        <v>234</v>
      </c>
      <c r="F38" s="0" t="s">
        <v>25</v>
      </c>
      <c r="G38" s="0" t="s">
        <v>240</v>
      </c>
      <c r="H38" s="0" t="e">
        <f aca="false">#N/A</f>
        <v>#N/A</v>
      </c>
      <c r="I38" s="0" t="e">
        <f aca="false">#N/A</f>
        <v>#N/A</v>
      </c>
      <c r="J38" s="0" t="e">
        <f aca="false">#N/A</f>
        <v>#N/A</v>
      </c>
      <c r="K38" s="0" t="e">
        <f aca="false">#N/A</f>
        <v>#N/A</v>
      </c>
      <c r="L38" s="0" t="e">
        <f aca="false">#N/A</f>
        <v>#N/A</v>
      </c>
      <c r="M38" s="0" t="s">
        <v>26</v>
      </c>
      <c r="N38" s="0" t="s">
        <v>26</v>
      </c>
      <c r="O38" s="0" t="s">
        <v>26</v>
      </c>
      <c r="P38" s="0" t="s">
        <v>26</v>
      </c>
      <c r="Q38" s="1" t="b">
        <f aca="false">FALSE()</f>
        <v>0</v>
      </c>
      <c r="R38" s="0" t="e">
        <f aca="false">#N/A</f>
        <v>#N/A</v>
      </c>
      <c r="S38" s="0" t="e">
        <f aca="false">#N/A</f>
        <v>#N/A</v>
      </c>
      <c r="T38" s="2" t="s">
        <v>242</v>
      </c>
    </row>
    <row r="39" customFormat="false" ht="15.85" hidden="false" customHeight="true" outlineLevel="0" collapsed="false">
      <c r="A39" s="0" t="s">
        <v>243</v>
      </c>
      <c r="B39" s="0" t="s">
        <v>244</v>
      </c>
      <c r="C39" s="0" t="s">
        <v>245</v>
      </c>
      <c r="D39" s="0" t="s">
        <v>246</v>
      </c>
      <c r="E39" s="0" t="s">
        <v>247</v>
      </c>
      <c r="F39" s="0" t="s">
        <v>25</v>
      </c>
      <c r="G39" s="0" t="s">
        <v>245</v>
      </c>
      <c r="H39" s="0" t="e">
        <f aca="false">#N/A</f>
        <v>#N/A</v>
      </c>
      <c r="I39" s="0" t="e">
        <f aca="false">#N/A</f>
        <v>#N/A</v>
      </c>
      <c r="J39" s="0" t="e">
        <f aca="false">#N/A</f>
        <v>#N/A</v>
      </c>
      <c r="K39" s="0" t="e">
        <f aca="false">#N/A</f>
        <v>#N/A</v>
      </c>
      <c r="L39" s="0" t="e">
        <f aca="false">#N/A</f>
        <v>#N/A</v>
      </c>
      <c r="M39" s="0" t="s">
        <v>26</v>
      </c>
      <c r="N39" s="0" t="s">
        <v>26</v>
      </c>
      <c r="O39" s="0" t="s">
        <v>26</v>
      </c>
      <c r="P39" s="0" t="s">
        <v>26</v>
      </c>
      <c r="Q39" s="1" t="b">
        <f aca="false">FALSE()</f>
        <v>0</v>
      </c>
      <c r="R39" s="0" t="e">
        <f aca="false">#N/A</f>
        <v>#N/A</v>
      </c>
      <c r="S39" s="0" t="e">
        <f aca="false">#N/A</f>
        <v>#N/A</v>
      </c>
      <c r="T39" s="2" t="s">
        <v>248</v>
      </c>
    </row>
    <row r="40" customFormat="false" ht="15.85" hidden="false" customHeight="true" outlineLevel="0" collapsed="false">
      <c r="A40" s="0" t="s">
        <v>249</v>
      </c>
      <c r="B40" s="0" t="s">
        <v>250</v>
      </c>
      <c r="C40" s="0" t="s">
        <v>251</v>
      </c>
      <c r="D40" s="0" t="s">
        <v>252</v>
      </c>
      <c r="E40" s="0" t="s">
        <v>253</v>
      </c>
      <c r="F40" s="0" t="s">
        <v>25</v>
      </c>
      <c r="G40" s="0" t="s">
        <v>251</v>
      </c>
      <c r="H40" s="0" t="e">
        <f aca="false">#N/A</f>
        <v>#N/A</v>
      </c>
      <c r="I40" s="0" t="e">
        <f aca="false">#N/A</f>
        <v>#N/A</v>
      </c>
      <c r="J40" s="0" t="e">
        <f aca="false">#N/A</f>
        <v>#N/A</v>
      </c>
      <c r="K40" s="0" t="e">
        <f aca="false">#N/A</f>
        <v>#N/A</v>
      </c>
      <c r="L40" s="0" t="e">
        <f aca="false">#N/A</f>
        <v>#N/A</v>
      </c>
      <c r="M40" s="0" t="s">
        <v>26</v>
      </c>
      <c r="N40" s="0" t="s">
        <v>235</v>
      </c>
      <c r="O40" s="0" t="s">
        <v>26</v>
      </c>
      <c r="P40" s="0" t="s">
        <v>26</v>
      </c>
      <c r="Q40" s="1" t="b">
        <f aca="false">TRUE()</f>
        <v>1</v>
      </c>
      <c r="R40" s="0" t="s">
        <v>254</v>
      </c>
      <c r="S40" s="0" t="e">
        <f aca="false">#N/A</f>
        <v>#N/A</v>
      </c>
      <c r="T40" s="2" t="s">
        <v>255</v>
      </c>
    </row>
    <row r="41" customFormat="false" ht="15.85" hidden="false" customHeight="true" outlineLevel="0" collapsed="false">
      <c r="A41" s="0" t="s">
        <v>256</v>
      </c>
      <c r="B41" s="0" t="s">
        <v>257</v>
      </c>
      <c r="C41" s="0" t="s">
        <v>258</v>
      </c>
      <c r="D41" s="0" t="s">
        <v>259</v>
      </c>
      <c r="E41" s="0" t="s">
        <v>260</v>
      </c>
      <c r="F41" s="0" t="s">
        <v>25</v>
      </c>
      <c r="G41" s="0" t="s">
        <v>258</v>
      </c>
      <c r="H41" s="0" t="e">
        <f aca="false">#N/A</f>
        <v>#N/A</v>
      </c>
      <c r="I41" s="0" t="e">
        <f aca="false">#N/A</f>
        <v>#N/A</v>
      </c>
      <c r="J41" s="0" t="e">
        <f aca="false">#N/A</f>
        <v>#N/A</v>
      </c>
      <c r="K41" s="0" t="e">
        <f aca="false">#N/A</f>
        <v>#N/A</v>
      </c>
      <c r="L41" s="0" t="e">
        <f aca="false">#N/A</f>
        <v>#N/A</v>
      </c>
      <c r="M41" s="0" t="s">
        <v>26</v>
      </c>
      <c r="N41" s="0" t="s">
        <v>26</v>
      </c>
      <c r="O41" s="0" t="s">
        <v>26</v>
      </c>
      <c r="P41" s="0" t="s">
        <v>26</v>
      </c>
      <c r="Q41" s="1" t="b">
        <f aca="false">FALSE()</f>
        <v>0</v>
      </c>
      <c r="R41" s="0" t="e">
        <f aca="false">#N/A</f>
        <v>#N/A</v>
      </c>
      <c r="S41" s="0" t="e">
        <f aca="false">#N/A</f>
        <v>#N/A</v>
      </c>
      <c r="T41" s="2" t="s">
        <v>261</v>
      </c>
    </row>
    <row r="42" customFormat="false" ht="15.85" hidden="false" customHeight="true" outlineLevel="0" collapsed="false">
      <c r="A42" s="0" t="s">
        <v>262</v>
      </c>
      <c r="B42" s="0" t="s">
        <v>263</v>
      </c>
      <c r="C42" s="0" t="s">
        <v>264</v>
      </c>
      <c r="D42" s="0" t="s">
        <v>265</v>
      </c>
      <c r="E42" s="0" t="s">
        <v>260</v>
      </c>
      <c r="F42" s="0" t="s">
        <v>25</v>
      </c>
      <c r="G42" s="0" t="s">
        <v>264</v>
      </c>
      <c r="H42" s="0" t="e">
        <f aca="false">#N/A</f>
        <v>#N/A</v>
      </c>
      <c r="I42" s="0" t="e">
        <f aca="false">#N/A</f>
        <v>#N/A</v>
      </c>
      <c r="J42" s="0" t="e">
        <f aca="false">#N/A</f>
        <v>#N/A</v>
      </c>
      <c r="K42" s="0" t="e">
        <f aca="false">#N/A</f>
        <v>#N/A</v>
      </c>
      <c r="L42" s="0" t="e">
        <f aca="false">#N/A</f>
        <v>#N/A</v>
      </c>
      <c r="M42" s="0" t="s">
        <v>26</v>
      </c>
      <c r="N42" s="0" t="s">
        <v>26</v>
      </c>
      <c r="O42" s="0" t="s">
        <v>26</v>
      </c>
      <c r="P42" s="0" t="s">
        <v>26</v>
      </c>
      <c r="Q42" s="1" t="b">
        <f aca="false">FALSE()</f>
        <v>0</v>
      </c>
      <c r="R42" s="0" t="e">
        <f aca="false">#N/A</f>
        <v>#N/A</v>
      </c>
      <c r="S42" s="0" t="e">
        <f aca="false">#N/A</f>
        <v>#N/A</v>
      </c>
      <c r="T42" s="2" t="s">
        <v>266</v>
      </c>
    </row>
    <row r="43" customFormat="false" ht="15.85" hidden="false" customHeight="true" outlineLevel="0" collapsed="false">
      <c r="A43" s="0" t="s">
        <v>267</v>
      </c>
      <c r="B43" s="0" t="s">
        <v>268</v>
      </c>
      <c r="C43" s="0" t="s">
        <v>269</v>
      </c>
      <c r="D43" s="0" t="s">
        <v>270</v>
      </c>
      <c r="E43" s="0" t="s">
        <v>271</v>
      </c>
      <c r="F43" s="0" t="s">
        <v>25</v>
      </c>
      <c r="G43" s="0" t="s">
        <v>269</v>
      </c>
      <c r="H43" s="0" t="e">
        <f aca="false">#N/A</f>
        <v>#N/A</v>
      </c>
      <c r="I43" s="0" t="e">
        <f aca="false">#N/A</f>
        <v>#N/A</v>
      </c>
      <c r="J43" s="0" t="e">
        <f aca="false">#N/A</f>
        <v>#N/A</v>
      </c>
      <c r="K43" s="0" t="e">
        <f aca="false">#N/A</f>
        <v>#N/A</v>
      </c>
      <c r="L43" s="0" t="e">
        <f aca="false">#N/A</f>
        <v>#N/A</v>
      </c>
      <c r="M43" s="0" t="s">
        <v>26</v>
      </c>
      <c r="N43" s="0" t="s">
        <v>26</v>
      </c>
      <c r="O43" s="0" t="s">
        <v>26</v>
      </c>
      <c r="P43" s="0" t="s">
        <v>26</v>
      </c>
      <c r="Q43" s="1" t="b">
        <f aca="false">FALSE()</f>
        <v>0</v>
      </c>
      <c r="R43" s="0" t="e">
        <f aca="false">#N/A</f>
        <v>#N/A</v>
      </c>
      <c r="S43" s="0" t="e">
        <f aca="false">#N/A</f>
        <v>#N/A</v>
      </c>
      <c r="T43" s="2" t="s">
        <v>272</v>
      </c>
    </row>
    <row r="44" customFormat="false" ht="15.85" hidden="false" customHeight="true" outlineLevel="0" collapsed="false">
      <c r="A44" s="0" t="s">
        <v>273</v>
      </c>
      <c r="B44" s="0" t="s">
        <v>274</v>
      </c>
      <c r="C44" s="0" t="s">
        <v>275</v>
      </c>
      <c r="D44" s="0" t="s">
        <v>276</v>
      </c>
      <c r="E44" s="0" t="s">
        <v>277</v>
      </c>
      <c r="F44" s="0" t="s">
        <v>25</v>
      </c>
      <c r="G44" s="0" t="s">
        <v>275</v>
      </c>
      <c r="H44" s="0" t="e">
        <f aca="false">#N/A</f>
        <v>#N/A</v>
      </c>
      <c r="I44" s="0" t="e">
        <f aca="false">#N/A</f>
        <v>#N/A</v>
      </c>
      <c r="J44" s="0" t="e">
        <f aca="false">#N/A</f>
        <v>#N/A</v>
      </c>
      <c r="K44" s="0" t="e">
        <f aca="false">#N/A</f>
        <v>#N/A</v>
      </c>
      <c r="L44" s="0" t="e">
        <f aca="false">#N/A</f>
        <v>#N/A</v>
      </c>
      <c r="M44" s="0" t="s">
        <v>26</v>
      </c>
      <c r="N44" s="0" t="s">
        <v>26</v>
      </c>
      <c r="O44" s="0" t="s">
        <v>26</v>
      </c>
      <c r="P44" s="0" t="s">
        <v>26</v>
      </c>
      <c r="Q44" s="1" t="b">
        <f aca="false">FALSE()</f>
        <v>0</v>
      </c>
      <c r="R44" s="0" t="e">
        <f aca="false">#N/A</f>
        <v>#N/A</v>
      </c>
      <c r="S44" s="0" t="e">
        <f aca="false">#N/A</f>
        <v>#N/A</v>
      </c>
      <c r="T44" s="2" t="s">
        <v>278</v>
      </c>
    </row>
    <row r="45" customFormat="false" ht="15.85" hidden="false" customHeight="true" outlineLevel="0" collapsed="false">
      <c r="A45" s="0" t="s">
        <v>279</v>
      </c>
      <c r="B45" s="0" t="s">
        <v>280</v>
      </c>
      <c r="C45" s="0" t="s">
        <v>281</v>
      </c>
      <c r="D45" s="0" t="s">
        <v>282</v>
      </c>
      <c r="E45" s="0" t="s">
        <v>283</v>
      </c>
      <c r="F45" s="0" t="s">
        <v>25</v>
      </c>
      <c r="G45" s="0" t="s">
        <v>281</v>
      </c>
      <c r="H45" s="0" t="e">
        <f aca="false">#N/A</f>
        <v>#N/A</v>
      </c>
      <c r="I45" s="0" t="e">
        <f aca="false">#N/A</f>
        <v>#N/A</v>
      </c>
      <c r="J45" s="0" t="e">
        <f aca="false">#N/A</f>
        <v>#N/A</v>
      </c>
      <c r="K45" s="0" t="e">
        <f aca="false">#N/A</f>
        <v>#N/A</v>
      </c>
      <c r="L45" s="0" t="e">
        <f aca="false">#N/A</f>
        <v>#N/A</v>
      </c>
      <c r="M45" s="0" t="s">
        <v>26</v>
      </c>
      <c r="N45" s="0" t="s">
        <v>26</v>
      </c>
      <c r="O45" s="0" t="s">
        <v>26</v>
      </c>
      <c r="P45" s="0" t="s">
        <v>26</v>
      </c>
      <c r="Q45" s="1" t="b">
        <f aca="false">FALSE()</f>
        <v>0</v>
      </c>
      <c r="R45" s="0" t="e">
        <f aca="false">#N/A</f>
        <v>#N/A</v>
      </c>
      <c r="S45" s="0" t="e">
        <f aca="false">#N/A</f>
        <v>#N/A</v>
      </c>
      <c r="T45" s="2" t="s">
        <v>284</v>
      </c>
    </row>
    <row r="46" customFormat="false" ht="15.85" hidden="false" customHeight="true" outlineLevel="0" collapsed="false">
      <c r="A46" s="0" t="s">
        <v>285</v>
      </c>
      <c r="B46" s="0" t="s">
        <v>286</v>
      </c>
      <c r="C46" s="0" t="s">
        <v>287</v>
      </c>
      <c r="D46" s="0" t="s">
        <v>288</v>
      </c>
      <c r="E46" s="0" t="s">
        <v>289</v>
      </c>
      <c r="F46" s="0" t="s">
        <v>25</v>
      </c>
      <c r="G46" s="0" t="s">
        <v>287</v>
      </c>
      <c r="H46" s="0" t="e">
        <f aca="false">#N/A</f>
        <v>#N/A</v>
      </c>
      <c r="I46" s="0" t="e">
        <f aca="false">#N/A</f>
        <v>#N/A</v>
      </c>
      <c r="J46" s="0" t="e">
        <f aca="false">#N/A</f>
        <v>#N/A</v>
      </c>
      <c r="K46" s="0" t="e">
        <f aca="false">#N/A</f>
        <v>#N/A</v>
      </c>
      <c r="L46" s="0" t="e">
        <f aca="false">#N/A</f>
        <v>#N/A</v>
      </c>
      <c r="M46" s="0" t="s">
        <v>26</v>
      </c>
      <c r="N46" s="0" t="s">
        <v>26</v>
      </c>
      <c r="O46" s="0" t="s">
        <v>26</v>
      </c>
      <c r="P46" s="0" t="s">
        <v>26</v>
      </c>
      <c r="Q46" s="1" t="b">
        <f aca="false">FALSE()</f>
        <v>0</v>
      </c>
      <c r="R46" s="0" t="e">
        <f aca="false">#N/A</f>
        <v>#N/A</v>
      </c>
      <c r="S46" s="0" t="e">
        <f aca="false">#N/A</f>
        <v>#N/A</v>
      </c>
      <c r="T46" s="2" t="s">
        <v>290</v>
      </c>
    </row>
    <row r="47" customFormat="false" ht="15.85" hidden="false" customHeight="true" outlineLevel="0" collapsed="false">
      <c r="A47" s="0" t="s">
        <v>291</v>
      </c>
      <c r="B47" s="0" t="s">
        <v>292</v>
      </c>
      <c r="C47" s="0" t="s">
        <v>293</v>
      </c>
      <c r="D47" s="0" t="s">
        <v>294</v>
      </c>
      <c r="E47" s="0" t="s">
        <v>295</v>
      </c>
      <c r="F47" s="0" t="s">
        <v>25</v>
      </c>
      <c r="G47" s="0" t="s">
        <v>293</v>
      </c>
      <c r="H47" s="0" t="e">
        <f aca="false">#N/A</f>
        <v>#N/A</v>
      </c>
      <c r="I47" s="0" t="e">
        <f aca="false">#N/A</f>
        <v>#N/A</v>
      </c>
      <c r="J47" s="0" t="e">
        <f aca="false">#N/A</f>
        <v>#N/A</v>
      </c>
      <c r="K47" s="0" t="e">
        <f aca="false">#N/A</f>
        <v>#N/A</v>
      </c>
      <c r="L47" s="0" t="e">
        <f aca="false">#N/A</f>
        <v>#N/A</v>
      </c>
      <c r="M47" s="0" t="s">
        <v>26</v>
      </c>
      <c r="N47" s="0" t="s">
        <v>26</v>
      </c>
      <c r="O47" s="0" t="s">
        <v>26</v>
      </c>
      <c r="P47" s="0" t="s">
        <v>26</v>
      </c>
      <c r="Q47" s="1" t="b">
        <f aca="false">FALSE()</f>
        <v>0</v>
      </c>
      <c r="R47" s="0" t="e">
        <f aca="false">#N/A</f>
        <v>#N/A</v>
      </c>
      <c r="S47" s="0" t="e">
        <f aca="false">#N/A</f>
        <v>#N/A</v>
      </c>
      <c r="T47" s="2" t="s">
        <v>296</v>
      </c>
    </row>
    <row r="48" customFormat="false" ht="15.85" hidden="false" customHeight="true" outlineLevel="0" collapsed="false">
      <c r="A48" s="0" t="s">
        <v>297</v>
      </c>
      <c r="B48" s="0" t="s">
        <v>298</v>
      </c>
      <c r="C48" s="0" t="s">
        <v>299</v>
      </c>
      <c r="D48" s="0" t="s">
        <v>300</v>
      </c>
      <c r="E48" s="0" t="s">
        <v>301</v>
      </c>
      <c r="F48" s="0" t="s">
        <v>25</v>
      </c>
      <c r="G48" s="0" t="s">
        <v>299</v>
      </c>
      <c r="H48" s="0" t="e">
        <f aca="false">#N/A</f>
        <v>#N/A</v>
      </c>
      <c r="I48" s="0" t="e">
        <f aca="false">#N/A</f>
        <v>#N/A</v>
      </c>
      <c r="J48" s="0" t="e">
        <f aca="false">#N/A</f>
        <v>#N/A</v>
      </c>
      <c r="K48" s="0" t="e">
        <f aca="false">#N/A</f>
        <v>#N/A</v>
      </c>
      <c r="L48" s="0" t="e">
        <f aca="false">#N/A</f>
        <v>#N/A</v>
      </c>
      <c r="M48" s="0" t="s">
        <v>26</v>
      </c>
      <c r="N48" s="0" t="s">
        <v>26</v>
      </c>
      <c r="O48" s="0" t="s">
        <v>26</v>
      </c>
      <c r="P48" s="0" t="s">
        <v>26</v>
      </c>
      <c r="Q48" s="1" t="b">
        <f aca="false">FALSE()</f>
        <v>0</v>
      </c>
      <c r="R48" s="0" t="e">
        <f aca="false">#N/A</f>
        <v>#N/A</v>
      </c>
      <c r="S48" s="0" t="e">
        <f aca="false">#N/A</f>
        <v>#N/A</v>
      </c>
      <c r="T48" s="2" t="s">
        <v>302</v>
      </c>
    </row>
    <row r="49" customFormat="false" ht="15.85" hidden="false" customHeight="true" outlineLevel="0" collapsed="false">
      <c r="A49" s="0" t="s">
        <v>303</v>
      </c>
      <c r="B49" s="0" t="s">
        <v>304</v>
      </c>
      <c r="C49" s="0" t="s">
        <v>305</v>
      </c>
      <c r="D49" s="0" t="s">
        <v>306</v>
      </c>
      <c r="E49" s="0" t="s">
        <v>301</v>
      </c>
      <c r="F49" s="0" t="s">
        <v>25</v>
      </c>
      <c r="G49" s="0" t="s">
        <v>305</v>
      </c>
      <c r="H49" s="0" t="e">
        <f aca="false">#N/A</f>
        <v>#N/A</v>
      </c>
      <c r="I49" s="0" t="e">
        <f aca="false">#N/A</f>
        <v>#N/A</v>
      </c>
      <c r="J49" s="0" t="e">
        <f aca="false">#N/A</f>
        <v>#N/A</v>
      </c>
      <c r="K49" s="0" t="e">
        <f aca="false">#N/A</f>
        <v>#N/A</v>
      </c>
      <c r="L49" s="0" t="e">
        <f aca="false">#N/A</f>
        <v>#N/A</v>
      </c>
      <c r="M49" s="0" t="s">
        <v>26</v>
      </c>
      <c r="N49" s="0" t="s">
        <v>26</v>
      </c>
      <c r="O49" s="0" t="s">
        <v>26</v>
      </c>
      <c r="P49" s="0" t="s">
        <v>26</v>
      </c>
      <c r="Q49" s="1" t="b">
        <f aca="false">FALSE()</f>
        <v>0</v>
      </c>
      <c r="R49" s="0" t="e">
        <f aca="false">#N/A</f>
        <v>#N/A</v>
      </c>
      <c r="S49" s="0" t="e">
        <f aca="false">#N/A</f>
        <v>#N/A</v>
      </c>
      <c r="T49" s="2" t="s">
        <v>307</v>
      </c>
    </row>
    <row r="50" customFormat="false" ht="15.85" hidden="false" customHeight="true" outlineLevel="0" collapsed="false">
      <c r="A50" s="0" t="s">
        <v>308</v>
      </c>
      <c r="B50" s="0" t="s">
        <v>309</v>
      </c>
      <c r="C50" s="0" t="s">
        <v>310</v>
      </c>
      <c r="D50" s="0" t="s">
        <v>311</v>
      </c>
      <c r="E50" s="0" t="s">
        <v>312</v>
      </c>
      <c r="F50" s="0" t="s">
        <v>25</v>
      </c>
      <c r="G50" s="0" t="s">
        <v>310</v>
      </c>
      <c r="H50" s="0" t="e">
        <f aca="false">#N/A</f>
        <v>#N/A</v>
      </c>
      <c r="I50" s="0" t="e">
        <f aca="false">#N/A</f>
        <v>#N/A</v>
      </c>
      <c r="J50" s="0" t="e">
        <f aca="false">#N/A</f>
        <v>#N/A</v>
      </c>
      <c r="K50" s="0" t="e">
        <f aca="false">#N/A</f>
        <v>#N/A</v>
      </c>
      <c r="L50" s="0" t="e">
        <f aca="false">#N/A</f>
        <v>#N/A</v>
      </c>
      <c r="M50" s="0" t="s">
        <v>26</v>
      </c>
      <c r="N50" s="0" t="s">
        <v>26</v>
      </c>
      <c r="O50" s="0" t="s">
        <v>26</v>
      </c>
      <c r="P50" s="0" t="s">
        <v>26</v>
      </c>
      <c r="Q50" s="1" t="b">
        <f aca="false">FALSE()</f>
        <v>0</v>
      </c>
      <c r="R50" s="0" t="e">
        <f aca="false">#N/A</f>
        <v>#N/A</v>
      </c>
      <c r="S50" s="0" t="e">
        <f aca="false">#N/A</f>
        <v>#N/A</v>
      </c>
      <c r="T50" s="2" t="s">
        <v>313</v>
      </c>
    </row>
    <row r="51" customFormat="false" ht="15.85" hidden="false" customHeight="true" outlineLevel="0" collapsed="false">
      <c r="A51" s="0" t="s">
        <v>314</v>
      </c>
      <c r="B51" s="0" t="s">
        <v>315</v>
      </c>
      <c r="C51" s="0" t="s">
        <v>316</v>
      </c>
      <c r="D51" s="0" t="s">
        <v>317</v>
      </c>
      <c r="E51" s="0" t="s">
        <v>318</v>
      </c>
      <c r="F51" s="0" t="s">
        <v>25</v>
      </c>
      <c r="G51" s="0" t="s">
        <v>316</v>
      </c>
      <c r="H51" s="0" t="e">
        <f aca="false">#N/A</f>
        <v>#N/A</v>
      </c>
      <c r="I51" s="0" t="e">
        <f aca="false">#N/A</f>
        <v>#N/A</v>
      </c>
      <c r="J51" s="0" t="e">
        <f aca="false">#N/A</f>
        <v>#N/A</v>
      </c>
      <c r="K51" s="0" t="e">
        <f aca="false">#N/A</f>
        <v>#N/A</v>
      </c>
      <c r="L51" s="0" t="e">
        <f aca="false">#N/A</f>
        <v>#N/A</v>
      </c>
      <c r="M51" s="0" t="s">
        <v>26</v>
      </c>
      <c r="N51" s="0" t="s">
        <v>26</v>
      </c>
      <c r="O51" s="0" t="s">
        <v>26</v>
      </c>
      <c r="P51" s="0" t="s">
        <v>26</v>
      </c>
      <c r="Q51" s="1" t="b">
        <f aca="false">FALSE()</f>
        <v>0</v>
      </c>
      <c r="R51" s="0" t="e">
        <f aca="false">#N/A</f>
        <v>#N/A</v>
      </c>
      <c r="S51" s="0" t="e">
        <f aca="false">#N/A</f>
        <v>#N/A</v>
      </c>
      <c r="T51" s="2" t="s">
        <v>319</v>
      </c>
    </row>
    <row r="52" customFormat="false" ht="15.85" hidden="false" customHeight="true" outlineLevel="0" collapsed="false">
      <c r="A52" s="0" t="s">
        <v>320</v>
      </c>
      <c r="B52" s="0" t="s">
        <v>321</v>
      </c>
      <c r="C52" s="0" t="s">
        <v>322</v>
      </c>
      <c r="D52" s="0" t="s">
        <v>323</v>
      </c>
      <c r="E52" s="0" t="s">
        <v>324</v>
      </c>
      <c r="F52" s="0" t="s">
        <v>25</v>
      </c>
      <c r="G52" s="0" t="s">
        <v>322</v>
      </c>
      <c r="H52" s="0" t="e">
        <f aca="false">#N/A</f>
        <v>#N/A</v>
      </c>
      <c r="I52" s="0" t="e">
        <f aca="false">#N/A</f>
        <v>#N/A</v>
      </c>
      <c r="J52" s="0" t="e">
        <f aca="false">#N/A</f>
        <v>#N/A</v>
      </c>
      <c r="K52" s="0" t="e">
        <f aca="false">#N/A</f>
        <v>#N/A</v>
      </c>
      <c r="L52" s="0" t="e">
        <f aca="false">#N/A</f>
        <v>#N/A</v>
      </c>
      <c r="M52" s="0" t="s">
        <v>26</v>
      </c>
      <c r="N52" s="0" t="s">
        <v>26</v>
      </c>
      <c r="O52" s="0" t="s">
        <v>26</v>
      </c>
      <c r="P52" s="0" t="s">
        <v>26</v>
      </c>
      <c r="Q52" s="1" t="b">
        <f aca="false">FALSE()</f>
        <v>0</v>
      </c>
      <c r="R52" s="0" t="e">
        <f aca="false">#N/A</f>
        <v>#N/A</v>
      </c>
      <c r="S52" s="0" t="e">
        <f aca="false">#N/A</f>
        <v>#N/A</v>
      </c>
      <c r="T52" s="2" t="s">
        <v>325</v>
      </c>
    </row>
    <row r="53" customFormat="false" ht="15.85" hidden="false" customHeight="true" outlineLevel="0" collapsed="false">
      <c r="A53" s="0" t="s">
        <v>326</v>
      </c>
      <c r="B53" s="0" t="s">
        <v>327</v>
      </c>
      <c r="C53" s="0" t="s">
        <v>328</v>
      </c>
      <c r="D53" s="0" t="s">
        <v>329</v>
      </c>
      <c r="E53" s="0" t="s">
        <v>330</v>
      </c>
      <c r="F53" s="0" t="s">
        <v>25</v>
      </c>
      <c r="G53" s="0" t="s">
        <v>328</v>
      </c>
      <c r="H53" s="0" t="e">
        <f aca="false">#N/A</f>
        <v>#N/A</v>
      </c>
      <c r="I53" s="0" t="e">
        <f aca="false">#N/A</f>
        <v>#N/A</v>
      </c>
      <c r="J53" s="0" t="e">
        <f aca="false">#N/A</f>
        <v>#N/A</v>
      </c>
      <c r="K53" s="0" t="e">
        <f aca="false">#N/A</f>
        <v>#N/A</v>
      </c>
      <c r="L53" s="0" t="e">
        <f aca="false">#N/A</f>
        <v>#N/A</v>
      </c>
      <c r="M53" s="0" t="s">
        <v>26</v>
      </c>
      <c r="N53" s="0" t="s">
        <v>26</v>
      </c>
      <c r="O53" s="0" t="s">
        <v>26</v>
      </c>
      <c r="P53" s="0" t="s">
        <v>26</v>
      </c>
      <c r="Q53" s="1" t="b">
        <f aca="false">FALSE()</f>
        <v>0</v>
      </c>
      <c r="R53" s="0" t="e">
        <f aca="false">#N/A</f>
        <v>#N/A</v>
      </c>
      <c r="S53" s="0" t="e">
        <f aca="false">#N/A</f>
        <v>#N/A</v>
      </c>
      <c r="T53" s="2" t="s">
        <v>331</v>
      </c>
    </row>
    <row r="54" customFormat="false" ht="15.85" hidden="false" customHeight="true" outlineLevel="0" collapsed="false">
      <c r="A54" s="0" t="s">
        <v>332</v>
      </c>
      <c r="B54" s="0" t="s">
        <v>333</v>
      </c>
      <c r="C54" s="0" t="s">
        <v>334</v>
      </c>
      <c r="D54" s="0" t="s">
        <v>335</v>
      </c>
      <c r="E54" s="0" t="s">
        <v>336</v>
      </c>
      <c r="F54" s="0" t="s">
        <v>25</v>
      </c>
      <c r="G54" s="0" t="s">
        <v>334</v>
      </c>
      <c r="H54" s="0" t="e">
        <f aca="false">#N/A</f>
        <v>#N/A</v>
      </c>
      <c r="I54" s="0" t="e">
        <f aca="false">#N/A</f>
        <v>#N/A</v>
      </c>
      <c r="J54" s="0" t="e">
        <f aca="false">#N/A</f>
        <v>#N/A</v>
      </c>
      <c r="K54" s="0" t="e">
        <f aca="false">#N/A</f>
        <v>#N/A</v>
      </c>
      <c r="L54" s="0" t="e">
        <f aca="false">#N/A</f>
        <v>#N/A</v>
      </c>
      <c r="M54" s="0" t="s">
        <v>26</v>
      </c>
      <c r="N54" s="0" t="s">
        <v>26</v>
      </c>
      <c r="O54" s="0" t="s">
        <v>26</v>
      </c>
      <c r="P54" s="0" t="s">
        <v>26</v>
      </c>
      <c r="Q54" s="1" t="b">
        <f aca="false">FALSE()</f>
        <v>0</v>
      </c>
      <c r="R54" s="0" t="e">
        <f aca="false">#N/A</f>
        <v>#N/A</v>
      </c>
      <c r="S54" s="0" t="e">
        <f aca="false">#N/A</f>
        <v>#N/A</v>
      </c>
      <c r="T54" s="2" t="s">
        <v>337</v>
      </c>
    </row>
    <row r="55" customFormat="false" ht="15.85" hidden="false" customHeight="true" outlineLevel="0" collapsed="false">
      <c r="A55" s="0" t="s">
        <v>338</v>
      </c>
      <c r="B55" s="0" t="s">
        <v>339</v>
      </c>
      <c r="C55" s="0" t="s">
        <v>340</v>
      </c>
      <c r="D55" s="0" t="s">
        <v>341</v>
      </c>
      <c r="E55" s="0" t="s">
        <v>342</v>
      </c>
      <c r="F55" s="0" t="s">
        <v>25</v>
      </c>
      <c r="G55" s="0" t="s">
        <v>340</v>
      </c>
      <c r="H55" s="0" t="e">
        <f aca="false">#N/A</f>
        <v>#N/A</v>
      </c>
      <c r="I55" s="0" t="e">
        <f aca="false">#N/A</f>
        <v>#N/A</v>
      </c>
      <c r="J55" s="0" t="e">
        <f aca="false">#N/A</f>
        <v>#N/A</v>
      </c>
      <c r="K55" s="0" t="e">
        <f aca="false">#N/A</f>
        <v>#N/A</v>
      </c>
      <c r="L55" s="0" t="e">
        <f aca="false">#N/A</f>
        <v>#N/A</v>
      </c>
      <c r="M55" s="0" t="s">
        <v>26</v>
      </c>
      <c r="N55" s="0" t="s">
        <v>26</v>
      </c>
      <c r="O55" s="0" t="s">
        <v>26</v>
      </c>
      <c r="P55" s="0" t="s">
        <v>26</v>
      </c>
      <c r="Q55" s="1" t="b">
        <f aca="false">FALSE()</f>
        <v>0</v>
      </c>
      <c r="R55" s="0" t="e">
        <f aca="false">#N/A</f>
        <v>#N/A</v>
      </c>
      <c r="S55" s="0" t="e">
        <f aca="false">#N/A</f>
        <v>#N/A</v>
      </c>
      <c r="T55" s="2" t="s">
        <v>343</v>
      </c>
    </row>
    <row r="56" customFormat="false" ht="15.85" hidden="false" customHeight="true" outlineLevel="0" collapsed="false">
      <c r="A56" s="0" t="s">
        <v>344</v>
      </c>
      <c r="B56" s="0" t="s">
        <v>345</v>
      </c>
      <c r="C56" s="0" t="s">
        <v>346</v>
      </c>
      <c r="D56" s="0" t="s">
        <v>347</v>
      </c>
      <c r="E56" s="0" t="s">
        <v>348</v>
      </c>
      <c r="F56" s="0" t="s">
        <v>25</v>
      </c>
      <c r="G56" s="0" t="s">
        <v>346</v>
      </c>
      <c r="H56" s="0" t="e">
        <f aca="false">#N/A</f>
        <v>#N/A</v>
      </c>
      <c r="I56" s="0" t="e">
        <f aca="false">#N/A</f>
        <v>#N/A</v>
      </c>
      <c r="J56" s="0" t="e">
        <f aca="false">#N/A</f>
        <v>#N/A</v>
      </c>
      <c r="K56" s="0" t="e">
        <f aca="false">#N/A</f>
        <v>#N/A</v>
      </c>
      <c r="L56" s="0" t="e">
        <f aca="false">#N/A</f>
        <v>#N/A</v>
      </c>
      <c r="M56" s="0" t="s">
        <v>26</v>
      </c>
      <c r="N56" s="0" t="s">
        <v>26</v>
      </c>
      <c r="O56" s="0" t="s">
        <v>26</v>
      </c>
      <c r="P56" s="0" t="s">
        <v>26</v>
      </c>
      <c r="Q56" s="1" t="b">
        <f aca="false">FALSE()</f>
        <v>0</v>
      </c>
      <c r="R56" s="0" t="e">
        <f aca="false">#N/A</f>
        <v>#N/A</v>
      </c>
      <c r="S56" s="0" t="e">
        <f aca="false">#N/A</f>
        <v>#N/A</v>
      </c>
      <c r="T56" s="2" t="s">
        <v>349</v>
      </c>
    </row>
    <row r="57" customFormat="false" ht="15.85" hidden="false" customHeight="true" outlineLevel="0" collapsed="false">
      <c r="A57" s="0" t="s">
        <v>350</v>
      </c>
      <c r="B57" s="0" t="s">
        <v>351</v>
      </c>
      <c r="C57" s="0" t="s">
        <v>352</v>
      </c>
      <c r="D57" s="0" t="s">
        <v>353</v>
      </c>
      <c r="E57" s="0" t="s">
        <v>354</v>
      </c>
      <c r="F57" s="0" t="s">
        <v>25</v>
      </c>
      <c r="G57" s="0" t="s">
        <v>352</v>
      </c>
      <c r="H57" s="0" t="e">
        <f aca="false">#N/A</f>
        <v>#N/A</v>
      </c>
      <c r="I57" s="0" t="e">
        <f aca="false">#N/A</f>
        <v>#N/A</v>
      </c>
      <c r="J57" s="0" t="e">
        <f aca="false">#N/A</f>
        <v>#N/A</v>
      </c>
      <c r="K57" s="0" t="e">
        <f aca="false">#N/A</f>
        <v>#N/A</v>
      </c>
      <c r="L57" s="0" t="e">
        <f aca="false">#N/A</f>
        <v>#N/A</v>
      </c>
      <c r="M57" s="0" t="s">
        <v>26</v>
      </c>
      <c r="N57" s="0" t="s">
        <v>26</v>
      </c>
      <c r="O57" s="0" t="s">
        <v>26</v>
      </c>
      <c r="P57" s="0" t="s">
        <v>26</v>
      </c>
      <c r="Q57" s="1" t="b">
        <f aca="false">FALSE()</f>
        <v>0</v>
      </c>
      <c r="R57" s="0" t="e">
        <f aca="false">#N/A</f>
        <v>#N/A</v>
      </c>
      <c r="S57" s="0" t="e">
        <f aca="false">#N/A</f>
        <v>#N/A</v>
      </c>
      <c r="T57" s="2" t="s">
        <v>355</v>
      </c>
    </row>
    <row r="58" customFormat="false" ht="15.85" hidden="false" customHeight="true" outlineLevel="0" collapsed="false">
      <c r="A58" s="0" t="s">
        <v>356</v>
      </c>
      <c r="B58" s="0" t="s">
        <v>357</v>
      </c>
      <c r="C58" s="0" t="s">
        <v>358</v>
      </c>
      <c r="D58" s="0" t="s">
        <v>359</v>
      </c>
      <c r="E58" s="0" t="s">
        <v>360</v>
      </c>
      <c r="F58" s="0" t="s">
        <v>25</v>
      </c>
      <c r="G58" s="0" t="s">
        <v>358</v>
      </c>
      <c r="H58" s="0" t="e">
        <f aca="false">#N/A</f>
        <v>#N/A</v>
      </c>
      <c r="I58" s="0" t="e">
        <f aca="false">#N/A</f>
        <v>#N/A</v>
      </c>
      <c r="J58" s="0" t="e">
        <f aca="false">#N/A</f>
        <v>#N/A</v>
      </c>
      <c r="K58" s="0" t="e">
        <f aca="false">#N/A</f>
        <v>#N/A</v>
      </c>
      <c r="L58" s="0" t="e">
        <f aca="false">#N/A</f>
        <v>#N/A</v>
      </c>
      <c r="M58" s="0" t="s">
        <v>26</v>
      </c>
      <c r="N58" s="0" t="s">
        <v>26</v>
      </c>
      <c r="O58" s="0" t="s">
        <v>26</v>
      </c>
      <c r="P58" s="0" t="s">
        <v>26</v>
      </c>
      <c r="Q58" s="1" t="b">
        <f aca="false">FALSE()</f>
        <v>0</v>
      </c>
      <c r="R58" s="0" t="e">
        <f aca="false">#N/A</f>
        <v>#N/A</v>
      </c>
      <c r="S58" s="0" t="e">
        <f aca="false">#N/A</f>
        <v>#N/A</v>
      </c>
      <c r="T58" s="2" t="s">
        <v>361</v>
      </c>
    </row>
    <row r="59" customFormat="false" ht="15.85" hidden="false" customHeight="true" outlineLevel="0" collapsed="false">
      <c r="A59" s="0" t="s">
        <v>362</v>
      </c>
      <c r="B59" s="0" t="s">
        <v>363</v>
      </c>
      <c r="C59" s="0" t="s">
        <v>364</v>
      </c>
      <c r="D59" s="0" t="s">
        <v>365</v>
      </c>
      <c r="E59" s="0" t="s">
        <v>366</v>
      </c>
      <c r="F59" s="0" t="s">
        <v>25</v>
      </c>
      <c r="G59" s="0" t="s">
        <v>364</v>
      </c>
      <c r="H59" s="0" t="e">
        <f aca="false">#N/A</f>
        <v>#N/A</v>
      </c>
      <c r="I59" s="0" t="e">
        <f aca="false">#N/A</f>
        <v>#N/A</v>
      </c>
      <c r="J59" s="0" t="e">
        <f aca="false">#N/A</f>
        <v>#N/A</v>
      </c>
      <c r="K59" s="0" t="e">
        <f aca="false">#N/A</f>
        <v>#N/A</v>
      </c>
      <c r="L59" s="0" t="e">
        <f aca="false">#N/A</f>
        <v>#N/A</v>
      </c>
      <c r="M59" s="0" t="s">
        <v>26</v>
      </c>
      <c r="N59" s="0" t="s">
        <v>26</v>
      </c>
      <c r="O59" s="0" t="s">
        <v>26</v>
      </c>
      <c r="P59" s="0" t="s">
        <v>26</v>
      </c>
      <c r="Q59" s="1" t="b">
        <f aca="false">FALSE()</f>
        <v>0</v>
      </c>
      <c r="R59" s="0" t="e">
        <f aca="false">#N/A</f>
        <v>#N/A</v>
      </c>
      <c r="S59" s="0" t="e">
        <f aca="false">#N/A</f>
        <v>#N/A</v>
      </c>
      <c r="T59" s="2" t="s">
        <v>367</v>
      </c>
    </row>
    <row r="60" customFormat="false" ht="15.85" hidden="false" customHeight="true" outlineLevel="0" collapsed="false">
      <c r="A60" s="0" t="s">
        <v>368</v>
      </c>
      <c r="B60" s="0" t="s">
        <v>369</v>
      </c>
      <c r="C60" s="0" t="s">
        <v>370</v>
      </c>
      <c r="D60" s="0" t="s">
        <v>371</v>
      </c>
      <c r="E60" s="0" t="s">
        <v>372</v>
      </c>
      <c r="F60" s="0" t="s">
        <v>25</v>
      </c>
      <c r="G60" s="0" t="s">
        <v>370</v>
      </c>
      <c r="H60" s="0" t="e">
        <f aca="false">#N/A</f>
        <v>#N/A</v>
      </c>
      <c r="I60" s="0" t="e">
        <f aca="false">#N/A</f>
        <v>#N/A</v>
      </c>
      <c r="J60" s="0" t="e">
        <f aca="false">#N/A</f>
        <v>#N/A</v>
      </c>
      <c r="K60" s="0" t="e">
        <f aca="false">#N/A</f>
        <v>#N/A</v>
      </c>
      <c r="L60" s="0" t="e">
        <f aca="false">#N/A</f>
        <v>#N/A</v>
      </c>
      <c r="M60" s="0" t="s">
        <v>26</v>
      </c>
      <c r="N60" s="0" t="s">
        <v>26</v>
      </c>
      <c r="O60" s="0" t="s">
        <v>26</v>
      </c>
      <c r="P60" s="0" t="s">
        <v>26</v>
      </c>
      <c r="Q60" s="1" t="b">
        <f aca="false">FALSE()</f>
        <v>0</v>
      </c>
      <c r="R60" s="0" t="e">
        <f aca="false">#N/A</f>
        <v>#N/A</v>
      </c>
      <c r="S60" s="0" t="e">
        <f aca="false">#N/A</f>
        <v>#N/A</v>
      </c>
      <c r="T60" s="2" t="s">
        <v>373</v>
      </c>
    </row>
    <row r="61" customFormat="false" ht="15.85" hidden="false" customHeight="true" outlineLevel="0" collapsed="false">
      <c r="A61" s="0" t="s">
        <v>374</v>
      </c>
      <c r="B61" s="0" t="s">
        <v>375</v>
      </c>
      <c r="C61" s="0" t="s">
        <v>376</v>
      </c>
      <c r="D61" s="0" t="s">
        <v>377</v>
      </c>
      <c r="E61" s="0" t="s">
        <v>378</v>
      </c>
      <c r="F61" s="0" t="s">
        <v>25</v>
      </c>
      <c r="G61" s="0" t="s">
        <v>376</v>
      </c>
      <c r="H61" s="0" t="e">
        <f aca="false">#N/A</f>
        <v>#N/A</v>
      </c>
      <c r="I61" s="0" t="e">
        <f aca="false">#N/A</f>
        <v>#N/A</v>
      </c>
      <c r="J61" s="0" t="e">
        <f aca="false">#N/A</f>
        <v>#N/A</v>
      </c>
      <c r="K61" s="0" t="e">
        <f aca="false">#N/A</f>
        <v>#N/A</v>
      </c>
      <c r="L61" s="0" t="e">
        <f aca="false">#N/A</f>
        <v>#N/A</v>
      </c>
      <c r="M61" s="0" t="s">
        <v>26</v>
      </c>
      <c r="N61" s="0" t="s">
        <v>26</v>
      </c>
      <c r="O61" s="0" t="s">
        <v>26</v>
      </c>
      <c r="P61" s="0" t="s">
        <v>26</v>
      </c>
      <c r="Q61" s="1" t="b">
        <f aca="false">FALSE()</f>
        <v>0</v>
      </c>
      <c r="R61" s="0" t="e">
        <f aca="false">#N/A</f>
        <v>#N/A</v>
      </c>
      <c r="S61" s="0" t="e">
        <f aca="false">#N/A</f>
        <v>#N/A</v>
      </c>
      <c r="T61" s="2" t="s">
        <v>379</v>
      </c>
    </row>
    <row r="62" customFormat="false" ht="15.85" hidden="false" customHeight="true" outlineLevel="0" collapsed="false">
      <c r="A62" s="0" t="s">
        <v>380</v>
      </c>
      <c r="B62" s="0" t="s">
        <v>381</v>
      </c>
      <c r="C62" s="0" t="s">
        <v>382</v>
      </c>
      <c r="D62" s="0" t="s">
        <v>383</v>
      </c>
      <c r="E62" s="0" t="s">
        <v>384</v>
      </c>
      <c r="F62" s="0" t="s">
        <v>25</v>
      </c>
      <c r="G62" s="0" t="s">
        <v>382</v>
      </c>
      <c r="H62" s="0" t="e">
        <f aca="false">#N/A</f>
        <v>#N/A</v>
      </c>
      <c r="I62" s="0" t="e">
        <f aca="false">#N/A</f>
        <v>#N/A</v>
      </c>
      <c r="J62" s="0" t="e">
        <f aca="false">#N/A</f>
        <v>#N/A</v>
      </c>
      <c r="K62" s="0" t="e">
        <f aca="false">#N/A</f>
        <v>#N/A</v>
      </c>
      <c r="L62" s="0" t="e">
        <f aca="false">#N/A</f>
        <v>#N/A</v>
      </c>
      <c r="M62" s="0" t="s">
        <v>26</v>
      </c>
      <c r="N62" s="0" t="s">
        <v>26</v>
      </c>
      <c r="O62" s="0" t="s">
        <v>26</v>
      </c>
      <c r="P62" s="0" t="s">
        <v>26</v>
      </c>
      <c r="Q62" s="1" t="b">
        <f aca="false">FALSE()</f>
        <v>0</v>
      </c>
      <c r="R62" s="0" t="e">
        <f aca="false">#N/A</f>
        <v>#N/A</v>
      </c>
      <c r="S62" s="0" t="e">
        <f aca="false">#N/A</f>
        <v>#N/A</v>
      </c>
      <c r="T62" s="2" t="s">
        <v>385</v>
      </c>
    </row>
    <row r="63" customFormat="false" ht="15.85" hidden="false" customHeight="true" outlineLevel="0" collapsed="false">
      <c r="A63" s="0" t="s">
        <v>386</v>
      </c>
      <c r="B63" s="0" t="s">
        <v>387</v>
      </c>
      <c r="C63" s="0" t="s">
        <v>388</v>
      </c>
      <c r="D63" s="0" t="s">
        <v>389</v>
      </c>
      <c r="E63" s="0" t="s">
        <v>390</v>
      </c>
      <c r="F63" s="0" t="s">
        <v>25</v>
      </c>
      <c r="G63" s="0" t="s">
        <v>388</v>
      </c>
      <c r="H63" s="0" t="e">
        <f aca="false">#N/A</f>
        <v>#N/A</v>
      </c>
      <c r="I63" s="0" t="e">
        <f aca="false">#N/A</f>
        <v>#N/A</v>
      </c>
      <c r="J63" s="0" t="e">
        <f aca="false">#N/A</f>
        <v>#N/A</v>
      </c>
      <c r="K63" s="0" t="e">
        <f aca="false">#N/A</f>
        <v>#N/A</v>
      </c>
      <c r="L63" s="0" t="e">
        <f aca="false">#N/A</f>
        <v>#N/A</v>
      </c>
      <c r="M63" s="0" t="s">
        <v>26</v>
      </c>
      <c r="N63" s="0" t="s">
        <v>26</v>
      </c>
      <c r="O63" s="0" t="s">
        <v>26</v>
      </c>
      <c r="P63" s="0" t="s">
        <v>26</v>
      </c>
      <c r="Q63" s="1" t="b">
        <f aca="false">FALSE()</f>
        <v>0</v>
      </c>
      <c r="R63" s="0" t="e">
        <f aca="false">#N/A</f>
        <v>#N/A</v>
      </c>
      <c r="S63" s="0" t="e">
        <f aca="false">#N/A</f>
        <v>#N/A</v>
      </c>
      <c r="T63" s="2" t="s">
        <v>391</v>
      </c>
    </row>
    <row r="64" customFormat="false" ht="15.85" hidden="false" customHeight="true" outlineLevel="0" collapsed="false">
      <c r="A64" s="0" t="s">
        <v>392</v>
      </c>
      <c r="B64" s="0" t="s">
        <v>393</v>
      </c>
      <c r="C64" s="0" t="s">
        <v>394</v>
      </c>
      <c r="D64" s="0" t="s">
        <v>395</v>
      </c>
      <c r="E64" s="0" t="s">
        <v>396</v>
      </c>
      <c r="F64" s="0" t="s">
        <v>25</v>
      </c>
      <c r="G64" s="0" t="s">
        <v>394</v>
      </c>
      <c r="H64" s="0" t="e">
        <f aca="false">#N/A</f>
        <v>#N/A</v>
      </c>
      <c r="I64" s="0" t="e">
        <f aca="false">#N/A</f>
        <v>#N/A</v>
      </c>
      <c r="J64" s="0" t="e">
        <f aca="false">#N/A</f>
        <v>#N/A</v>
      </c>
      <c r="K64" s="0" t="e">
        <f aca="false">#N/A</f>
        <v>#N/A</v>
      </c>
      <c r="L64" s="0" t="e">
        <f aca="false">#N/A</f>
        <v>#N/A</v>
      </c>
      <c r="M64" s="0" t="s">
        <v>26</v>
      </c>
      <c r="N64" s="0" t="s">
        <v>26</v>
      </c>
      <c r="O64" s="0" t="s">
        <v>26</v>
      </c>
      <c r="P64" s="0" t="s">
        <v>26</v>
      </c>
      <c r="Q64" s="1" t="b">
        <f aca="false">FALSE()</f>
        <v>0</v>
      </c>
      <c r="R64" s="0" t="e">
        <f aca="false">#N/A</f>
        <v>#N/A</v>
      </c>
      <c r="S64" s="0" t="e">
        <f aca="false">#N/A</f>
        <v>#N/A</v>
      </c>
      <c r="T64" s="2" t="s">
        <v>397</v>
      </c>
    </row>
    <row r="65" customFormat="false" ht="15.85" hidden="false" customHeight="true" outlineLevel="0" collapsed="false">
      <c r="A65" s="0" t="s">
        <v>398</v>
      </c>
      <c r="B65" s="0" t="s">
        <v>399</v>
      </c>
      <c r="C65" s="0" t="s">
        <v>400</v>
      </c>
      <c r="D65" s="0" t="s">
        <v>401</v>
      </c>
      <c r="E65" s="0" t="s">
        <v>402</v>
      </c>
      <c r="F65" s="0" t="s">
        <v>25</v>
      </c>
      <c r="G65" s="0" t="s">
        <v>400</v>
      </c>
      <c r="H65" s="0" t="e">
        <f aca="false">#N/A</f>
        <v>#N/A</v>
      </c>
      <c r="I65" s="0" t="e">
        <f aca="false">#N/A</f>
        <v>#N/A</v>
      </c>
      <c r="J65" s="0" t="e">
        <f aca="false">#N/A</f>
        <v>#N/A</v>
      </c>
      <c r="K65" s="0" t="e">
        <f aca="false">#N/A</f>
        <v>#N/A</v>
      </c>
      <c r="L65" s="0" t="e">
        <f aca="false">#N/A</f>
        <v>#N/A</v>
      </c>
      <c r="M65" s="0" t="s">
        <v>26</v>
      </c>
      <c r="N65" s="0" t="s">
        <v>26</v>
      </c>
      <c r="O65" s="0" t="s">
        <v>26</v>
      </c>
      <c r="P65" s="0" t="s">
        <v>26</v>
      </c>
      <c r="Q65" s="1" t="b">
        <f aca="false">FALSE()</f>
        <v>0</v>
      </c>
      <c r="R65" s="0" t="e">
        <f aca="false">#N/A</f>
        <v>#N/A</v>
      </c>
      <c r="S65" s="0" t="e">
        <f aca="false">#N/A</f>
        <v>#N/A</v>
      </c>
      <c r="T65" s="2" t="s">
        <v>403</v>
      </c>
    </row>
    <row r="66" customFormat="false" ht="15.85" hidden="false" customHeight="true" outlineLevel="0" collapsed="false">
      <c r="A66" s="0" t="s">
        <v>404</v>
      </c>
      <c r="B66" s="0" t="s">
        <v>405</v>
      </c>
      <c r="C66" s="0" t="s">
        <v>406</v>
      </c>
      <c r="D66" s="0" t="s">
        <v>407</v>
      </c>
      <c r="E66" s="0" t="s">
        <v>408</v>
      </c>
      <c r="F66" s="0" t="s">
        <v>25</v>
      </c>
      <c r="G66" s="0" t="s">
        <v>406</v>
      </c>
      <c r="H66" s="0" t="e">
        <f aca="false">#N/A</f>
        <v>#N/A</v>
      </c>
      <c r="I66" s="0" t="e">
        <f aca="false">#N/A</f>
        <v>#N/A</v>
      </c>
      <c r="J66" s="0" t="e">
        <f aca="false">#N/A</f>
        <v>#N/A</v>
      </c>
      <c r="K66" s="0" t="e">
        <f aca="false">#N/A</f>
        <v>#N/A</v>
      </c>
      <c r="L66" s="0" t="e">
        <f aca="false">#N/A</f>
        <v>#N/A</v>
      </c>
      <c r="M66" s="0" t="s">
        <v>26</v>
      </c>
      <c r="N66" s="0" t="s">
        <v>26</v>
      </c>
      <c r="O66" s="0" t="s">
        <v>26</v>
      </c>
      <c r="P66" s="0" t="s">
        <v>26</v>
      </c>
      <c r="Q66" s="1" t="b">
        <f aca="false">FALSE()</f>
        <v>0</v>
      </c>
      <c r="R66" s="0" t="e">
        <f aca="false">#N/A</f>
        <v>#N/A</v>
      </c>
      <c r="S66" s="0" t="e">
        <f aca="false">#N/A</f>
        <v>#N/A</v>
      </c>
      <c r="T66" s="2" t="s">
        <v>409</v>
      </c>
    </row>
    <row r="67" customFormat="false" ht="15.85" hidden="false" customHeight="true" outlineLevel="0" collapsed="false">
      <c r="A67" s="0" t="s">
        <v>410</v>
      </c>
      <c r="B67" s="0" t="s">
        <v>411</v>
      </c>
      <c r="C67" s="0" t="s">
        <v>412</v>
      </c>
      <c r="D67" s="0" t="s">
        <v>413</v>
      </c>
      <c r="E67" s="0" t="s">
        <v>408</v>
      </c>
      <c r="F67" s="0" t="s">
        <v>25</v>
      </c>
      <c r="G67" s="0" t="s">
        <v>412</v>
      </c>
      <c r="H67" s="0" t="e">
        <f aca="false">#N/A</f>
        <v>#N/A</v>
      </c>
      <c r="I67" s="0" t="e">
        <f aca="false">#N/A</f>
        <v>#N/A</v>
      </c>
      <c r="J67" s="0" t="e">
        <f aca="false">#N/A</f>
        <v>#N/A</v>
      </c>
      <c r="K67" s="0" t="e">
        <f aca="false">#N/A</f>
        <v>#N/A</v>
      </c>
      <c r="L67" s="0" t="e">
        <f aca="false">#N/A</f>
        <v>#N/A</v>
      </c>
      <c r="M67" s="0" t="s">
        <v>26</v>
      </c>
      <c r="N67" s="0" t="s">
        <v>26</v>
      </c>
      <c r="O67" s="0" t="s">
        <v>26</v>
      </c>
      <c r="P67" s="0" t="s">
        <v>26</v>
      </c>
      <c r="Q67" s="1" t="b">
        <f aca="false">FALSE()</f>
        <v>0</v>
      </c>
      <c r="R67" s="0" t="e">
        <f aca="false">#N/A</f>
        <v>#N/A</v>
      </c>
      <c r="S67" s="0" t="e">
        <f aca="false">#N/A</f>
        <v>#N/A</v>
      </c>
      <c r="T67" s="2" t="s">
        <v>414</v>
      </c>
    </row>
    <row r="68" customFormat="false" ht="15.85" hidden="false" customHeight="true" outlineLevel="0" collapsed="false">
      <c r="A68" s="0" t="s">
        <v>415</v>
      </c>
      <c r="B68" s="0" t="s">
        <v>416</v>
      </c>
      <c r="C68" s="0" t="s">
        <v>417</v>
      </c>
      <c r="D68" s="0" t="s">
        <v>418</v>
      </c>
      <c r="E68" s="0" t="s">
        <v>419</v>
      </c>
      <c r="F68" s="0" t="s">
        <v>25</v>
      </c>
      <c r="G68" s="0" t="s">
        <v>417</v>
      </c>
      <c r="H68" s="0" t="e">
        <f aca="false">#N/A</f>
        <v>#N/A</v>
      </c>
      <c r="I68" s="0" t="e">
        <f aca="false">#N/A</f>
        <v>#N/A</v>
      </c>
      <c r="J68" s="0" t="e">
        <f aca="false">#N/A</f>
        <v>#N/A</v>
      </c>
      <c r="K68" s="0" t="e">
        <f aca="false">#N/A</f>
        <v>#N/A</v>
      </c>
      <c r="L68" s="0" t="e">
        <f aca="false">#N/A</f>
        <v>#N/A</v>
      </c>
      <c r="M68" s="0" t="s">
        <v>26</v>
      </c>
      <c r="N68" s="0" t="s">
        <v>26</v>
      </c>
      <c r="O68" s="0" t="s">
        <v>26</v>
      </c>
      <c r="P68" s="0" t="s">
        <v>26</v>
      </c>
      <c r="Q68" s="1" t="b">
        <f aca="false">FALSE()</f>
        <v>0</v>
      </c>
      <c r="R68" s="0" t="e">
        <f aca="false">#N/A</f>
        <v>#N/A</v>
      </c>
      <c r="S68" s="0" t="e">
        <f aca="false">#N/A</f>
        <v>#N/A</v>
      </c>
      <c r="T68" s="2" t="s">
        <v>420</v>
      </c>
    </row>
    <row r="69" customFormat="false" ht="15.85" hidden="false" customHeight="true" outlineLevel="0" collapsed="false">
      <c r="A69" s="0" t="s">
        <v>421</v>
      </c>
      <c r="B69" s="0" t="s">
        <v>422</v>
      </c>
      <c r="C69" s="0" t="s">
        <v>423</v>
      </c>
      <c r="D69" s="0" t="s">
        <v>424</v>
      </c>
      <c r="E69" s="0" t="s">
        <v>425</v>
      </c>
      <c r="F69" s="0" t="s">
        <v>25</v>
      </c>
      <c r="G69" s="0" t="s">
        <v>423</v>
      </c>
      <c r="H69" s="0" t="e">
        <f aca="false">#N/A</f>
        <v>#N/A</v>
      </c>
      <c r="I69" s="0" t="e">
        <f aca="false">#N/A</f>
        <v>#N/A</v>
      </c>
      <c r="J69" s="0" t="e">
        <f aca="false">#N/A</f>
        <v>#N/A</v>
      </c>
      <c r="K69" s="0" t="e">
        <f aca="false">#N/A</f>
        <v>#N/A</v>
      </c>
      <c r="L69" s="0" t="e">
        <f aca="false">#N/A</f>
        <v>#N/A</v>
      </c>
      <c r="M69" s="0" t="s">
        <v>26</v>
      </c>
      <c r="N69" s="0" t="s">
        <v>26</v>
      </c>
      <c r="O69" s="0" t="s">
        <v>26</v>
      </c>
      <c r="P69" s="0" t="s">
        <v>26</v>
      </c>
      <c r="Q69" s="1" t="b">
        <f aca="false">FALSE()</f>
        <v>0</v>
      </c>
      <c r="R69" s="0" t="e">
        <f aca="false">#N/A</f>
        <v>#N/A</v>
      </c>
      <c r="S69" s="0" t="e">
        <f aca="false">#N/A</f>
        <v>#N/A</v>
      </c>
      <c r="T69" s="2" t="s">
        <v>426</v>
      </c>
    </row>
    <row r="70" customFormat="false" ht="15.85" hidden="false" customHeight="true" outlineLevel="0" collapsed="false">
      <c r="A70" s="0" t="s">
        <v>427</v>
      </c>
      <c r="B70" s="0" t="s">
        <v>428</v>
      </c>
      <c r="C70" s="0" t="s">
        <v>429</v>
      </c>
      <c r="D70" s="0" t="s">
        <v>430</v>
      </c>
      <c r="E70" s="0" t="s">
        <v>431</v>
      </c>
      <c r="F70" s="0" t="s">
        <v>25</v>
      </c>
      <c r="G70" s="0" t="s">
        <v>429</v>
      </c>
      <c r="H70" s="0" t="e">
        <f aca="false">#N/A</f>
        <v>#N/A</v>
      </c>
      <c r="I70" s="0" t="e">
        <f aca="false">#N/A</f>
        <v>#N/A</v>
      </c>
      <c r="J70" s="0" t="e">
        <f aca="false">#N/A</f>
        <v>#N/A</v>
      </c>
      <c r="K70" s="0" t="e">
        <f aca="false">#N/A</f>
        <v>#N/A</v>
      </c>
      <c r="L70" s="0" t="e">
        <f aca="false">#N/A</f>
        <v>#N/A</v>
      </c>
      <c r="M70" s="0" t="s">
        <v>26</v>
      </c>
      <c r="N70" s="0" t="s">
        <v>26</v>
      </c>
      <c r="O70" s="0" t="s">
        <v>26</v>
      </c>
      <c r="P70" s="0" t="s">
        <v>26</v>
      </c>
      <c r="Q70" s="1" t="b">
        <f aca="false">FALSE()</f>
        <v>0</v>
      </c>
      <c r="R70" s="0" t="e">
        <f aca="false">#N/A</f>
        <v>#N/A</v>
      </c>
      <c r="S70" s="0" t="e">
        <f aca="false">#N/A</f>
        <v>#N/A</v>
      </c>
      <c r="T70" s="2" t="s">
        <v>432</v>
      </c>
    </row>
    <row r="71" customFormat="false" ht="15.85" hidden="false" customHeight="true" outlineLevel="0" collapsed="false">
      <c r="A71" s="0" t="s">
        <v>433</v>
      </c>
      <c r="B71" s="0" t="s">
        <v>434</v>
      </c>
      <c r="C71" s="0" t="s">
        <v>435</v>
      </c>
      <c r="D71" s="0" t="s">
        <v>436</v>
      </c>
      <c r="E71" s="0" t="s">
        <v>437</v>
      </c>
      <c r="F71" s="0" t="s">
        <v>25</v>
      </c>
      <c r="G71" s="0" t="s">
        <v>435</v>
      </c>
      <c r="H71" s="0" t="e">
        <f aca="false">#N/A</f>
        <v>#N/A</v>
      </c>
      <c r="I71" s="0" t="e">
        <f aca="false">#N/A</f>
        <v>#N/A</v>
      </c>
      <c r="J71" s="0" t="e">
        <f aca="false">#N/A</f>
        <v>#N/A</v>
      </c>
      <c r="K71" s="0" t="e">
        <f aca="false">#N/A</f>
        <v>#N/A</v>
      </c>
      <c r="L71" s="0" t="e">
        <f aca="false">#N/A</f>
        <v>#N/A</v>
      </c>
      <c r="M71" s="0" t="s">
        <v>26</v>
      </c>
      <c r="N71" s="0" t="s">
        <v>26</v>
      </c>
      <c r="O71" s="0" t="s">
        <v>26</v>
      </c>
      <c r="P71" s="0" t="s">
        <v>26</v>
      </c>
      <c r="Q71" s="1" t="b">
        <f aca="false">FALSE()</f>
        <v>0</v>
      </c>
      <c r="R71" s="0" t="e">
        <f aca="false">#N/A</f>
        <v>#N/A</v>
      </c>
      <c r="S71" s="0" t="e">
        <f aca="false">#N/A</f>
        <v>#N/A</v>
      </c>
      <c r="T71" s="2" t="s">
        <v>438</v>
      </c>
    </row>
    <row r="72" customFormat="false" ht="15.85" hidden="false" customHeight="true" outlineLevel="0" collapsed="false">
      <c r="A72" s="0" t="s">
        <v>439</v>
      </c>
      <c r="B72" s="0" t="s">
        <v>440</v>
      </c>
      <c r="C72" s="0" t="s">
        <v>441</v>
      </c>
      <c r="D72" s="0" t="s">
        <v>442</v>
      </c>
      <c r="E72" s="0" t="s">
        <v>443</v>
      </c>
      <c r="F72" s="0" t="s">
        <v>25</v>
      </c>
      <c r="G72" s="0" t="s">
        <v>441</v>
      </c>
      <c r="H72" s="0" t="e">
        <f aca="false">#N/A</f>
        <v>#N/A</v>
      </c>
      <c r="I72" s="0" t="e">
        <f aca="false">#N/A</f>
        <v>#N/A</v>
      </c>
      <c r="J72" s="0" t="e">
        <f aca="false">#N/A</f>
        <v>#N/A</v>
      </c>
      <c r="K72" s="0" t="e">
        <f aca="false">#N/A</f>
        <v>#N/A</v>
      </c>
      <c r="L72" s="0" t="e">
        <f aca="false">#N/A</f>
        <v>#N/A</v>
      </c>
      <c r="M72" s="0" t="s">
        <v>26</v>
      </c>
      <c r="N72" s="0" t="s">
        <v>26</v>
      </c>
      <c r="O72" s="0" t="s">
        <v>26</v>
      </c>
      <c r="P72" s="0" t="s">
        <v>26</v>
      </c>
      <c r="Q72" s="1" t="b">
        <f aca="false">FALSE()</f>
        <v>0</v>
      </c>
      <c r="R72" s="0" t="e">
        <f aca="false">#N/A</f>
        <v>#N/A</v>
      </c>
      <c r="S72" s="0" t="e">
        <f aca="false">#N/A</f>
        <v>#N/A</v>
      </c>
      <c r="T72" s="2" t="s">
        <v>444</v>
      </c>
    </row>
    <row r="73" customFormat="false" ht="15.85" hidden="false" customHeight="true" outlineLevel="0" collapsed="false">
      <c r="A73" s="0" t="s">
        <v>445</v>
      </c>
      <c r="B73" s="0" t="s">
        <v>446</v>
      </c>
      <c r="C73" s="2" t="s">
        <v>447</v>
      </c>
      <c r="D73" s="0" t="s">
        <v>448</v>
      </c>
      <c r="E73" s="0" t="s">
        <v>449</v>
      </c>
      <c r="F73" s="0" t="s">
        <v>25</v>
      </c>
      <c r="G73" s="2" t="s">
        <v>447</v>
      </c>
      <c r="H73" s="0" t="e">
        <f aca="false">#N/A</f>
        <v>#N/A</v>
      </c>
      <c r="I73" s="0" t="e">
        <f aca="false">#N/A</f>
        <v>#N/A</v>
      </c>
      <c r="J73" s="0" t="e">
        <f aca="false">#N/A</f>
        <v>#N/A</v>
      </c>
      <c r="K73" s="0" t="e">
        <f aca="false">#N/A</f>
        <v>#N/A</v>
      </c>
      <c r="L73" s="0" t="e">
        <f aca="false">#N/A</f>
        <v>#N/A</v>
      </c>
      <c r="M73" s="0" t="s">
        <v>26</v>
      </c>
      <c r="N73" s="0" t="s">
        <v>26</v>
      </c>
      <c r="O73" s="0" t="s">
        <v>26</v>
      </c>
      <c r="P73" s="0" t="s">
        <v>26</v>
      </c>
      <c r="Q73" s="1" t="b">
        <f aca="false">FALSE()</f>
        <v>0</v>
      </c>
      <c r="R73" s="0" t="e">
        <f aca="false">#N/A</f>
        <v>#N/A</v>
      </c>
      <c r="S73" s="0" t="e">
        <f aca="false">#N/A</f>
        <v>#N/A</v>
      </c>
      <c r="T73" s="2" t="s">
        <v>450</v>
      </c>
    </row>
    <row r="74" customFormat="false" ht="15.85" hidden="false" customHeight="true" outlineLevel="0" collapsed="false">
      <c r="A74" s="0" t="s">
        <v>451</v>
      </c>
      <c r="B74" s="0" t="s">
        <v>452</v>
      </c>
      <c r="C74" s="0" t="s">
        <v>453</v>
      </c>
      <c r="D74" s="0" t="s">
        <v>454</v>
      </c>
      <c r="E74" s="0" t="s">
        <v>455</v>
      </c>
      <c r="F74" s="0" t="s">
        <v>25</v>
      </c>
      <c r="G74" s="0" t="s">
        <v>453</v>
      </c>
      <c r="H74" s="0" t="e">
        <f aca="false">#N/A</f>
        <v>#N/A</v>
      </c>
      <c r="I74" s="0" t="e">
        <f aca="false">#N/A</f>
        <v>#N/A</v>
      </c>
      <c r="J74" s="0" t="e">
        <f aca="false">#N/A</f>
        <v>#N/A</v>
      </c>
      <c r="K74" s="0" t="e">
        <f aca="false">#N/A</f>
        <v>#N/A</v>
      </c>
      <c r="L74" s="0" t="e">
        <f aca="false">#N/A</f>
        <v>#N/A</v>
      </c>
      <c r="M74" s="0" t="s">
        <v>26</v>
      </c>
      <c r="N74" s="0" t="s">
        <v>26</v>
      </c>
      <c r="O74" s="0" t="s">
        <v>26</v>
      </c>
      <c r="P74" s="0" t="s">
        <v>26</v>
      </c>
      <c r="Q74" s="1" t="b">
        <f aca="false">FALSE()</f>
        <v>0</v>
      </c>
      <c r="R74" s="0" t="e">
        <f aca="false">#N/A</f>
        <v>#N/A</v>
      </c>
      <c r="S74" s="0" t="e">
        <f aca="false">#N/A</f>
        <v>#N/A</v>
      </c>
      <c r="T74" s="2" t="s">
        <v>456</v>
      </c>
    </row>
    <row r="75" customFormat="false" ht="15.85" hidden="false" customHeight="true" outlineLevel="0" collapsed="false">
      <c r="A75" s="0" t="s">
        <v>457</v>
      </c>
      <c r="B75" s="0" t="s">
        <v>458</v>
      </c>
      <c r="C75" s="0" t="s">
        <v>459</v>
      </c>
      <c r="D75" s="0" t="s">
        <v>460</v>
      </c>
      <c r="E75" s="0" t="s">
        <v>461</v>
      </c>
      <c r="F75" s="0" t="s">
        <v>25</v>
      </c>
      <c r="G75" s="0" t="s">
        <v>459</v>
      </c>
      <c r="H75" s="0" t="e">
        <f aca="false">#N/A</f>
        <v>#N/A</v>
      </c>
      <c r="I75" s="0" t="e">
        <f aca="false">#N/A</f>
        <v>#N/A</v>
      </c>
      <c r="J75" s="0" t="e">
        <f aca="false">#N/A</f>
        <v>#N/A</v>
      </c>
      <c r="K75" s="0" t="e">
        <f aca="false">#N/A</f>
        <v>#N/A</v>
      </c>
      <c r="L75" s="0" t="e">
        <f aca="false">#N/A</f>
        <v>#N/A</v>
      </c>
      <c r="M75" s="0" t="s">
        <v>26</v>
      </c>
      <c r="N75" s="0" t="s">
        <v>26</v>
      </c>
      <c r="O75" s="0" t="s">
        <v>26</v>
      </c>
      <c r="P75" s="0" t="s">
        <v>26</v>
      </c>
      <c r="Q75" s="1" t="b">
        <f aca="false">FALSE()</f>
        <v>0</v>
      </c>
      <c r="R75" s="0" t="e">
        <f aca="false">#N/A</f>
        <v>#N/A</v>
      </c>
      <c r="S75" s="0" t="e">
        <f aca="false">#N/A</f>
        <v>#N/A</v>
      </c>
      <c r="T75" s="2" t="s">
        <v>462</v>
      </c>
    </row>
    <row r="76" customFormat="false" ht="15.85" hidden="false" customHeight="true" outlineLevel="0" collapsed="false">
      <c r="A76" s="0" t="s">
        <v>463</v>
      </c>
      <c r="B76" s="0" t="s">
        <v>464</v>
      </c>
      <c r="C76" s="0" t="s">
        <v>465</v>
      </c>
      <c r="D76" s="0" t="s">
        <v>466</v>
      </c>
      <c r="E76" s="0" t="s">
        <v>467</v>
      </c>
      <c r="F76" s="0" t="s">
        <v>25</v>
      </c>
      <c r="G76" s="0" t="s">
        <v>465</v>
      </c>
      <c r="H76" s="0" t="e">
        <f aca="false">#N/A</f>
        <v>#N/A</v>
      </c>
      <c r="I76" s="0" t="e">
        <f aca="false">#N/A</f>
        <v>#N/A</v>
      </c>
      <c r="J76" s="0" t="e">
        <f aca="false">#N/A</f>
        <v>#N/A</v>
      </c>
      <c r="K76" s="0" t="e">
        <f aca="false">#N/A</f>
        <v>#N/A</v>
      </c>
      <c r="L76" s="0" t="e">
        <f aca="false">#N/A</f>
        <v>#N/A</v>
      </c>
      <c r="M76" s="0" t="s">
        <v>26</v>
      </c>
      <c r="N76" s="0" t="s">
        <v>26</v>
      </c>
      <c r="O76" s="0" t="s">
        <v>26</v>
      </c>
      <c r="P76" s="0" t="s">
        <v>26</v>
      </c>
      <c r="Q76" s="1" t="b">
        <f aca="false">FALSE()</f>
        <v>0</v>
      </c>
      <c r="R76" s="0" t="e">
        <f aca="false">#N/A</f>
        <v>#N/A</v>
      </c>
      <c r="S76" s="0" t="e">
        <f aca="false">#N/A</f>
        <v>#N/A</v>
      </c>
      <c r="T76" s="2" t="s">
        <v>468</v>
      </c>
    </row>
    <row r="77" customFormat="false" ht="15.85" hidden="false" customHeight="true" outlineLevel="0" collapsed="false">
      <c r="A77" s="0" t="s">
        <v>469</v>
      </c>
      <c r="B77" s="0" t="s">
        <v>470</v>
      </c>
      <c r="C77" s="0" t="s">
        <v>471</v>
      </c>
      <c r="D77" s="0" t="s">
        <v>472</v>
      </c>
      <c r="E77" s="0" t="s">
        <v>473</v>
      </c>
      <c r="F77" s="0" t="s">
        <v>25</v>
      </c>
      <c r="G77" s="0" t="s">
        <v>471</v>
      </c>
      <c r="H77" s="0" t="e">
        <f aca="false">#N/A</f>
        <v>#N/A</v>
      </c>
      <c r="I77" s="0" t="e">
        <f aca="false">#N/A</f>
        <v>#N/A</v>
      </c>
      <c r="J77" s="0" t="e">
        <f aca="false">#N/A</f>
        <v>#N/A</v>
      </c>
      <c r="K77" s="0" t="e">
        <f aca="false">#N/A</f>
        <v>#N/A</v>
      </c>
      <c r="L77" s="0" t="e">
        <f aca="false">#N/A</f>
        <v>#N/A</v>
      </c>
      <c r="M77" s="0" t="s">
        <v>235</v>
      </c>
      <c r="N77" s="0" t="s">
        <v>26</v>
      </c>
      <c r="O77" s="0" t="s">
        <v>26</v>
      </c>
      <c r="P77" s="0" t="s">
        <v>26</v>
      </c>
      <c r="Q77" s="1" t="b">
        <f aca="false">TRUE()</f>
        <v>1</v>
      </c>
      <c r="R77" s="0" t="s">
        <v>254</v>
      </c>
      <c r="S77" s="0" t="e">
        <f aca="false">#N/A</f>
        <v>#N/A</v>
      </c>
      <c r="T77" s="2" t="s">
        <v>474</v>
      </c>
    </row>
    <row r="78" customFormat="false" ht="15.85" hidden="false" customHeight="true" outlineLevel="0" collapsed="false">
      <c r="A78" s="0" t="s">
        <v>475</v>
      </c>
      <c r="B78" s="0" t="s">
        <v>476</v>
      </c>
      <c r="C78" s="0" t="s">
        <v>477</v>
      </c>
      <c r="D78" s="0" t="s">
        <v>478</v>
      </c>
      <c r="E78" s="0" t="s">
        <v>479</v>
      </c>
      <c r="F78" s="0" t="s">
        <v>25</v>
      </c>
      <c r="G78" s="0" t="s">
        <v>477</v>
      </c>
      <c r="H78" s="0" t="e">
        <f aca="false">#N/A</f>
        <v>#N/A</v>
      </c>
      <c r="I78" s="0" t="e">
        <f aca="false">#N/A</f>
        <v>#N/A</v>
      </c>
      <c r="J78" s="0" t="e">
        <f aca="false">#N/A</f>
        <v>#N/A</v>
      </c>
      <c r="K78" s="0" t="e">
        <f aca="false">#N/A</f>
        <v>#N/A</v>
      </c>
      <c r="L78" s="0" t="e">
        <f aca="false">#N/A</f>
        <v>#N/A</v>
      </c>
      <c r="M78" s="0" t="s">
        <v>26</v>
      </c>
      <c r="N78" s="0" t="s">
        <v>26</v>
      </c>
      <c r="O78" s="0" t="s">
        <v>26</v>
      </c>
      <c r="P78" s="0" t="s">
        <v>26</v>
      </c>
      <c r="Q78" s="1" t="b">
        <f aca="false">FALSE()</f>
        <v>0</v>
      </c>
      <c r="R78" s="0" t="e">
        <f aca="false">#N/A</f>
        <v>#N/A</v>
      </c>
      <c r="S78" s="0" t="e">
        <f aca="false">#N/A</f>
        <v>#N/A</v>
      </c>
      <c r="T78" s="2" t="s">
        <v>480</v>
      </c>
    </row>
    <row r="79" customFormat="false" ht="15.85" hidden="false" customHeight="true" outlineLevel="0" collapsed="false">
      <c r="A79" s="0" t="s">
        <v>481</v>
      </c>
      <c r="B79" s="0" t="s">
        <v>482</v>
      </c>
      <c r="C79" s="0" t="s">
        <v>483</v>
      </c>
      <c r="D79" s="0" t="s">
        <v>484</v>
      </c>
      <c r="E79" s="0" t="s">
        <v>485</v>
      </c>
      <c r="F79" s="0" t="s">
        <v>25</v>
      </c>
      <c r="G79" s="0" t="s">
        <v>483</v>
      </c>
      <c r="H79" s="0" t="e">
        <f aca="false">#N/A</f>
        <v>#N/A</v>
      </c>
      <c r="I79" s="0" t="e">
        <f aca="false">#N/A</f>
        <v>#N/A</v>
      </c>
      <c r="J79" s="0" t="e">
        <f aca="false">#N/A</f>
        <v>#N/A</v>
      </c>
      <c r="K79" s="0" t="e">
        <f aca="false">#N/A</f>
        <v>#N/A</v>
      </c>
      <c r="L79" s="0" t="e">
        <f aca="false">#N/A</f>
        <v>#N/A</v>
      </c>
      <c r="M79" s="0" t="s">
        <v>26</v>
      </c>
      <c r="N79" s="0" t="s">
        <v>26</v>
      </c>
      <c r="O79" s="0" t="s">
        <v>26</v>
      </c>
      <c r="P79" s="0" t="s">
        <v>26</v>
      </c>
      <c r="Q79" s="1" t="b">
        <f aca="false">FALSE()</f>
        <v>0</v>
      </c>
      <c r="R79" s="0" t="e">
        <f aca="false">#N/A</f>
        <v>#N/A</v>
      </c>
      <c r="S79" s="0" t="e">
        <f aca="false">#N/A</f>
        <v>#N/A</v>
      </c>
      <c r="T79" s="2" t="s">
        <v>486</v>
      </c>
    </row>
    <row r="80" customFormat="false" ht="15.85" hidden="false" customHeight="true" outlineLevel="0" collapsed="false">
      <c r="A80" s="0" t="s">
        <v>487</v>
      </c>
      <c r="B80" s="0" t="s">
        <v>488</v>
      </c>
      <c r="C80" s="0" t="s">
        <v>489</v>
      </c>
      <c r="D80" s="0" t="s">
        <v>490</v>
      </c>
      <c r="E80" s="0" t="s">
        <v>491</v>
      </c>
      <c r="F80" s="0" t="s">
        <v>25</v>
      </c>
      <c r="G80" s="0" t="s">
        <v>489</v>
      </c>
      <c r="H80" s="0" t="e">
        <f aca="false">#N/A</f>
        <v>#N/A</v>
      </c>
      <c r="I80" s="0" t="e">
        <f aca="false">#N/A</f>
        <v>#N/A</v>
      </c>
      <c r="J80" s="0" t="e">
        <f aca="false">#N/A</f>
        <v>#N/A</v>
      </c>
      <c r="K80" s="0" t="e">
        <f aca="false">#N/A</f>
        <v>#N/A</v>
      </c>
      <c r="L80" s="0" t="e">
        <f aca="false">#N/A</f>
        <v>#N/A</v>
      </c>
      <c r="M80" s="0" t="s">
        <v>235</v>
      </c>
      <c r="N80" s="0" t="s">
        <v>26</v>
      </c>
      <c r="O80" s="0" t="s">
        <v>235</v>
      </c>
      <c r="P80" s="0" t="s">
        <v>26</v>
      </c>
      <c r="Q80" s="1" t="b">
        <f aca="false">TRUE()</f>
        <v>1</v>
      </c>
      <c r="R80" s="0" t="s">
        <v>236</v>
      </c>
      <c r="S80" s="0" t="s">
        <v>492</v>
      </c>
      <c r="T80" s="2" t="s">
        <v>493</v>
      </c>
    </row>
    <row r="81" customFormat="false" ht="15.85" hidden="false" customHeight="true" outlineLevel="0" collapsed="false">
      <c r="A81" s="0" t="s">
        <v>494</v>
      </c>
      <c r="B81" s="2" t="s">
        <v>495</v>
      </c>
      <c r="C81" s="0" t="s">
        <v>496</v>
      </c>
      <c r="D81" s="0" t="s">
        <v>497</v>
      </c>
      <c r="E81" s="0" t="s">
        <v>498</v>
      </c>
      <c r="F81" s="0" t="s">
        <v>25</v>
      </c>
      <c r="G81" s="0" t="s">
        <v>496</v>
      </c>
      <c r="H81" s="0" t="e">
        <f aca="false">#N/A</f>
        <v>#N/A</v>
      </c>
      <c r="I81" s="0" t="e">
        <f aca="false">#N/A</f>
        <v>#N/A</v>
      </c>
      <c r="J81" s="0" t="e">
        <f aca="false">#N/A</f>
        <v>#N/A</v>
      </c>
      <c r="K81" s="0" t="e">
        <f aca="false">#N/A</f>
        <v>#N/A</v>
      </c>
      <c r="L81" s="0" t="e">
        <f aca="false">#N/A</f>
        <v>#N/A</v>
      </c>
      <c r="M81" s="0" t="s">
        <v>26</v>
      </c>
      <c r="N81" s="0" t="s">
        <v>26</v>
      </c>
      <c r="O81" s="0" t="s">
        <v>26</v>
      </c>
      <c r="P81" s="0" t="s">
        <v>26</v>
      </c>
      <c r="Q81" s="1" t="b">
        <f aca="false">FALSE()</f>
        <v>0</v>
      </c>
      <c r="R81" s="0" t="e">
        <f aca="false">#N/A</f>
        <v>#N/A</v>
      </c>
      <c r="S81" s="0" t="e">
        <f aca="false">#N/A</f>
        <v>#N/A</v>
      </c>
      <c r="T81" s="2" t="s">
        <v>499</v>
      </c>
    </row>
    <row r="82" customFormat="false" ht="15.85" hidden="false" customHeight="true" outlineLevel="0" collapsed="false">
      <c r="A82" s="0" t="s">
        <v>500</v>
      </c>
      <c r="B82" s="0" t="s">
        <v>501</v>
      </c>
      <c r="C82" s="0" t="s">
        <v>502</v>
      </c>
      <c r="D82" s="0" t="s">
        <v>503</v>
      </c>
      <c r="E82" s="0" t="s">
        <v>504</v>
      </c>
      <c r="F82" s="0" t="s">
        <v>25</v>
      </c>
      <c r="G82" s="0" t="s">
        <v>502</v>
      </c>
      <c r="H82" s="0" t="e">
        <f aca="false">#N/A</f>
        <v>#N/A</v>
      </c>
      <c r="I82" s="0" t="e">
        <f aca="false">#N/A</f>
        <v>#N/A</v>
      </c>
      <c r="J82" s="0" t="e">
        <f aca="false">#N/A</f>
        <v>#N/A</v>
      </c>
      <c r="K82" s="0" t="e">
        <f aca="false">#N/A</f>
        <v>#N/A</v>
      </c>
      <c r="L82" s="0" t="e">
        <f aca="false">#N/A</f>
        <v>#N/A</v>
      </c>
      <c r="M82" s="0" t="s">
        <v>26</v>
      </c>
      <c r="N82" s="0" t="s">
        <v>26</v>
      </c>
      <c r="O82" s="0" t="s">
        <v>26</v>
      </c>
      <c r="P82" s="0" t="s">
        <v>26</v>
      </c>
      <c r="Q82" s="1" t="b">
        <f aca="false">FALSE()</f>
        <v>0</v>
      </c>
      <c r="R82" s="0" t="e">
        <f aca="false">#N/A</f>
        <v>#N/A</v>
      </c>
      <c r="S82" s="0" t="e">
        <f aca="false">#N/A</f>
        <v>#N/A</v>
      </c>
      <c r="T82" s="2" t="s">
        <v>505</v>
      </c>
    </row>
    <row r="83" customFormat="false" ht="15.85" hidden="false" customHeight="true" outlineLevel="0" collapsed="false">
      <c r="A83" s="0" t="s">
        <v>506</v>
      </c>
      <c r="B83" s="0" t="s">
        <v>507</v>
      </c>
      <c r="C83" s="0" t="s">
        <v>508</v>
      </c>
      <c r="D83" s="0" t="s">
        <v>509</v>
      </c>
      <c r="E83" s="0" t="s">
        <v>510</v>
      </c>
      <c r="F83" s="0" t="s">
        <v>25</v>
      </c>
      <c r="G83" s="0" t="s">
        <v>508</v>
      </c>
      <c r="H83" s="0" t="e">
        <f aca="false">#N/A</f>
        <v>#N/A</v>
      </c>
      <c r="I83" s="0" t="e">
        <f aca="false">#N/A</f>
        <v>#N/A</v>
      </c>
      <c r="J83" s="0" t="e">
        <f aca="false">#N/A</f>
        <v>#N/A</v>
      </c>
      <c r="K83" s="0" t="e">
        <f aca="false">#N/A</f>
        <v>#N/A</v>
      </c>
      <c r="L83" s="0" t="e">
        <f aca="false">#N/A</f>
        <v>#N/A</v>
      </c>
      <c r="M83" s="0" t="s">
        <v>26</v>
      </c>
      <c r="N83" s="0" t="s">
        <v>26</v>
      </c>
      <c r="O83" s="0" t="s">
        <v>26</v>
      </c>
      <c r="P83" s="0" t="s">
        <v>26</v>
      </c>
      <c r="Q83" s="1" t="b">
        <f aca="false">FALSE()</f>
        <v>0</v>
      </c>
      <c r="R83" s="0" t="e">
        <f aca="false">#N/A</f>
        <v>#N/A</v>
      </c>
      <c r="S83" s="0" t="e">
        <f aca="false">#N/A</f>
        <v>#N/A</v>
      </c>
      <c r="T83" s="2" t="s">
        <v>511</v>
      </c>
    </row>
    <row r="84" customFormat="false" ht="15.85" hidden="false" customHeight="true" outlineLevel="0" collapsed="false">
      <c r="A84" s="0" t="s">
        <v>512</v>
      </c>
      <c r="B84" s="0" t="s">
        <v>513</v>
      </c>
      <c r="C84" s="0" t="s">
        <v>514</v>
      </c>
      <c r="D84" s="0" t="s">
        <v>515</v>
      </c>
      <c r="E84" s="0" t="s">
        <v>516</v>
      </c>
      <c r="F84" s="0" t="s">
        <v>25</v>
      </c>
      <c r="G84" s="0" t="s">
        <v>514</v>
      </c>
      <c r="H84" s="0" t="e">
        <f aca="false">#N/A</f>
        <v>#N/A</v>
      </c>
      <c r="I84" s="0" t="e">
        <f aca="false">#N/A</f>
        <v>#N/A</v>
      </c>
      <c r="J84" s="0" t="e">
        <f aca="false">#N/A</f>
        <v>#N/A</v>
      </c>
      <c r="K84" s="0" t="e">
        <f aca="false">#N/A</f>
        <v>#N/A</v>
      </c>
      <c r="L84" s="0" t="e">
        <f aca="false">#N/A</f>
        <v>#N/A</v>
      </c>
      <c r="M84" s="0" t="s">
        <v>26</v>
      </c>
      <c r="N84" s="0" t="s">
        <v>26</v>
      </c>
      <c r="O84" s="0" t="s">
        <v>26</v>
      </c>
      <c r="P84" s="0" t="s">
        <v>26</v>
      </c>
      <c r="Q84" s="1" t="b">
        <f aca="false">FALSE()</f>
        <v>0</v>
      </c>
      <c r="R84" s="0" t="e">
        <f aca="false">#N/A</f>
        <v>#N/A</v>
      </c>
      <c r="S84" s="0" t="e">
        <f aca="false">#N/A</f>
        <v>#N/A</v>
      </c>
      <c r="T84" s="2" t="s">
        <v>517</v>
      </c>
    </row>
    <row r="85" customFormat="false" ht="15.85" hidden="false" customHeight="true" outlineLevel="0" collapsed="false">
      <c r="A85" s="0" t="s">
        <v>518</v>
      </c>
      <c r="B85" s="0" t="s">
        <v>519</v>
      </c>
      <c r="C85" s="0" t="s">
        <v>520</v>
      </c>
      <c r="D85" s="0" t="s">
        <v>521</v>
      </c>
      <c r="E85" s="0" t="s">
        <v>522</v>
      </c>
      <c r="F85" s="0" t="s">
        <v>25</v>
      </c>
      <c r="G85" s="0" t="s">
        <v>520</v>
      </c>
      <c r="H85" s="0" t="e">
        <f aca="false">#N/A</f>
        <v>#N/A</v>
      </c>
      <c r="I85" s="0" t="e">
        <f aca="false">#N/A</f>
        <v>#N/A</v>
      </c>
      <c r="J85" s="0" t="e">
        <f aca="false">#N/A</f>
        <v>#N/A</v>
      </c>
      <c r="K85" s="0" t="e">
        <f aca="false">#N/A</f>
        <v>#N/A</v>
      </c>
      <c r="L85" s="0" t="e">
        <f aca="false">#N/A</f>
        <v>#N/A</v>
      </c>
      <c r="M85" s="0" t="s">
        <v>26</v>
      </c>
      <c r="N85" s="0" t="s">
        <v>26</v>
      </c>
      <c r="O85" s="0" t="s">
        <v>26</v>
      </c>
      <c r="P85" s="0" t="s">
        <v>26</v>
      </c>
      <c r="Q85" s="1" t="b">
        <f aca="false">FALSE()</f>
        <v>0</v>
      </c>
      <c r="R85" s="0" t="e">
        <f aca="false">#N/A</f>
        <v>#N/A</v>
      </c>
      <c r="S85" s="0" t="e">
        <f aca="false">#N/A</f>
        <v>#N/A</v>
      </c>
      <c r="T85" s="2" t="s">
        <v>523</v>
      </c>
    </row>
    <row r="86" customFormat="false" ht="15.85" hidden="false" customHeight="true" outlineLevel="0" collapsed="false">
      <c r="A86" s="0" t="s">
        <v>524</v>
      </c>
      <c r="B86" s="0" t="s">
        <v>525</v>
      </c>
      <c r="C86" s="0" t="s">
        <v>526</v>
      </c>
      <c r="D86" s="0" t="s">
        <v>527</v>
      </c>
      <c r="E86" s="0" t="s">
        <v>528</v>
      </c>
      <c r="F86" s="0" t="s">
        <v>25</v>
      </c>
      <c r="G86" s="0" t="s">
        <v>526</v>
      </c>
      <c r="H86" s="0" t="e">
        <f aca="false">#N/A</f>
        <v>#N/A</v>
      </c>
      <c r="I86" s="0" t="e">
        <f aca="false">#N/A</f>
        <v>#N/A</v>
      </c>
      <c r="J86" s="0" t="e">
        <f aca="false">#N/A</f>
        <v>#N/A</v>
      </c>
      <c r="K86" s="0" t="e">
        <f aca="false">#N/A</f>
        <v>#N/A</v>
      </c>
      <c r="L86" s="0" t="e">
        <f aca="false">#N/A</f>
        <v>#N/A</v>
      </c>
      <c r="M86" s="0" t="s">
        <v>26</v>
      </c>
      <c r="N86" s="0" t="s">
        <v>26</v>
      </c>
      <c r="O86" s="0" t="s">
        <v>26</v>
      </c>
      <c r="P86" s="0" t="s">
        <v>26</v>
      </c>
      <c r="Q86" s="1" t="b">
        <f aca="false">FALSE()</f>
        <v>0</v>
      </c>
      <c r="R86" s="0" t="e">
        <f aca="false">#N/A</f>
        <v>#N/A</v>
      </c>
      <c r="S86" s="0" t="e">
        <f aca="false">#N/A</f>
        <v>#N/A</v>
      </c>
      <c r="T86" s="2" t="s">
        <v>529</v>
      </c>
    </row>
    <row r="87" customFormat="false" ht="15.85" hidden="false" customHeight="true" outlineLevel="0" collapsed="false">
      <c r="A87" s="0" t="s">
        <v>530</v>
      </c>
      <c r="B87" s="0" t="s">
        <v>531</v>
      </c>
      <c r="C87" s="0" t="s">
        <v>532</v>
      </c>
      <c r="D87" s="0" t="s">
        <v>533</v>
      </c>
      <c r="E87" s="0" t="s">
        <v>534</v>
      </c>
      <c r="F87" s="0" t="s">
        <v>25</v>
      </c>
      <c r="G87" s="0" t="s">
        <v>532</v>
      </c>
      <c r="H87" s="0" t="e">
        <f aca="false">#N/A</f>
        <v>#N/A</v>
      </c>
      <c r="I87" s="0" t="e">
        <f aca="false">#N/A</f>
        <v>#N/A</v>
      </c>
      <c r="J87" s="0" t="e">
        <f aca="false">#N/A</f>
        <v>#N/A</v>
      </c>
      <c r="K87" s="0" t="e">
        <f aca="false">#N/A</f>
        <v>#N/A</v>
      </c>
      <c r="L87" s="0" t="e">
        <f aca="false">#N/A</f>
        <v>#N/A</v>
      </c>
      <c r="M87" s="0" t="s">
        <v>235</v>
      </c>
      <c r="N87" s="0" t="s">
        <v>26</v>
      </c>
      <c r="O87" s="0" t="s">
        <v>26</v>
      </c>
      <c r="P87" s="0" t="s">
        <v>26</v>
      </c>
      <c r="Q87" s="1" t="b">
        <f aca="false">TRUE()</f>
        <v>1</v>
      </c>
      <c r="R87" s="0" t="s">
        <v>254</v>
      </c>
      <c r="S87" s="0" t="e">
        <f aca="false">#N/A</f>
        <v>#N/A</v>
      </c>
      <c r="T87" s="2" t="s">
        <v>535</v>
      </c>
    </row>
    <row r="88" customFormat="false" ht="15.85" hidden="false" customHeight="true" outlineLevel="0" collapsed="false">
      <c r="A88" s="0" t="s">
        <v>536</v>
      </c>
      <c r="B88" s="0" t="s">
        <v>537</v>
      </c>
      <c r="C88" s="0" t="s">
        <v>538</v>
      </c>
      <c r="D88" s="0" t="s">
        <v>539</v>
      </c>
      <c r="E88" s="0" t="s">
        <v>540</v>
      </c>
      <c r="F88" s="0" t="s">
        <v>25</v>
      </c>
      <c r="G88" s="0" t="s">
        <v>538</v>
      </c>
      <c r="H88" s="0" t="e">
        <f aca="false">#N/A</f>
        <v>#N/A</v>
      </c>
      <c r="I88" s="0" t="e">
        <f aca="false">#N/A</f>
        <v>#N/A</v>
      </c>
      <c r="J88" s="0" t="e">
        <f aca="false">#N/A</f>
        <v>#N/A</v>
      </c>
      <c r="K88" s="0" t="e">
        <f aca="false">#N/A</f>
        <v>#N/A</v>
      </c>
      <c r="L88" s="0" t="e">
        <f aca="false">#N/A</f>
        <v>#N/A</v>
      </c>
      <c r="M88" s="0" t="s">
        <v>26</v>
      </c>
      <c r="N88" s="0" t="s">
        <v>26</v>
      </c>
      <c r="O88" s="0" t="s">
        <v>26</v>
      </c>
      <c r="P88" s="0" t="s">
        <v>26</v>
      </c>
      <c r="Q88" s="1" t="b">
        <f aca="false">FALSE()</f>
        <v>0</v>
      </c>
      <c r="R88" s="0" t="e">
        <f aca="false">#N/A</f>
        <v>#N/A</v>
      </c>
      <c r="S88" s="0" t="e">
        <f aca="false">#N/A</f>
        <v>#N/A</v>
      </c>
      <c r="T88" s="2" t="s">
        <v>541</v>
      </c>
    </row>
    <row r="89" customFormat="false" ht="15.85" hidden="false" customHeight="true" outlineLevel="0" collapsed="false">
      <c r="A89" s="0" t="s">
        <v>542</v>
      </c>
      <c r="B89" s="0" t="s">
        <v>543</v>
      </c>
      <c r="C89" s="0" t="s">
        <v>544</v>
      </c>
      <c r="D89" s="0" t="s">
        <v>545</v>
      </c>
      <c r="E89" s="0" t="s">
        <v>546</v>
      </c>
      <c r="F89" s="0" t="s">
        <v>25</v>
      </c>
      <c r="G89" s="0" t="s">
        <v>544</v>
      </c>
      <c r="H89" s="0" t="e">
        <f aca="false">#N/A</f>
        <v>#N/A</v>
      </c>
      <c r="I89" s="0" t="e">
        <f aca="false">#N/A</f>
        <v>#N/A</v>
      </c>
      <c r="J89" s="0" t="e">
        <f aca="false">#N/A</f>
        <v>#N/A</v>
      </c>
      <c r="K89" s="0" t="e">
        <f aca="false">#N/A</f>
        <v>#N/A</v>
      </c>
      <c r="L89" s="0" t="e">
        <f aca="false">#N/A</f>
        <v>#N/A</v>
      </c>
      <c r="M89" s="0" t="s">
        <v>26</v>
      </c>
      <c r="N89" s="0" t="s">
        <v>26</v>
      </c>
      <c r="O89" s="0" t="s">
        <v>26</v>
      </c>
      <c r="P89" s="0" t="s">
        <v>26</v>
      </c>
      <c r="Q89" s="1" t="b">
        <f aca="false">FALSE()</f>
        <v>0</v>
      </c>
      <c r="R89" s="0" t="e">
        <f aca="false">#N/A</f>
        <v>#N/A</v>
      </c>
      <c r="S89" s="0" t="e">
        <f aca="false">#N/A</f>
        <v>#N/A</v>
      </c>
      <c r="T89" s="2" t="s">
        <v>547</v>
      </c>
    </row>
    <row r="90" customFormat="false" ht="15.85" hidden="false" customHeight="true" outlineLevel="0" collapsed="false">
      <c r="A90" s="0" t="s">
        <v>548</v>
      </c>
      <c r="B90" s="0" t="s">
        <v>549</v>
      </c>
      <c r="C90" s="0" t="s">
        <v>550</v>
      </c>
      <c r="D90" s="0" t="s">
        <v>551</v>
      </c>
      <c r="E90" s="0" t="s">
        <v>552</v>
      </c>
      <c r="F90" s="0" t="s">
        <v>25</v>
      </c>
      <c r="G90" s="0" t="s">
        <v>550</v>
      </c>
      <c r="H90" s="0" t="e">
        <f aca="false">#N/A</f>
        <v>#N/A</v>
      </c>
      <c r="I90" s="0" t="e">
        <f aca="false">#N/A</f>
        <v>#N/A</v>
      </c>
      <c r="J90" s="0" t="e">
        <f aca="false">#N/A</f>
        <v>#N/A</v>
      </c>
      <c r="K90" s="0" t="e">
        <f aca="false">#N/A</f>
        <v>#N/A</v>
      </c>
      <c r="L90" s="0" t="e">
        <f aca="false">#N/A</f>
        <v>#N/A</v>
      </c>
      <c r="M90" s="0" t="s">
        <v>26</v>
      </c>
      <c r="N90" s="0" t="s">
        <v>26</v>
      </c>
      <c r="O90" s="0" t="s">
        <v>26</v>
      </c>
      <c r="P90" s="0" t="s">
        <v>26</v>
      </c>
      <c r="Q90" s="1" t="b">
        <f aca="false">FALSE()</f>
        <v>0</v>
      </c>
      <c r="R90" s="0" t="e">
        <f aca="false">#N/A</f>
        <v>#N/A</v>
      </c>
      <c r="S90" s="0" t="e">
        <f aca="false">#N/A</f>
        <v>#N/A</v>
      </c>
      <c r="T90" s="2" t="s">
        <v>553</v>
      </c>
    </row>
    <row r="91" customFormat="false" ht="15.85" hidden="false" customHeight="true" outlineLevel="0" collapsed="false">
      <c r="A91" s="0" t="s">
        <v>554</v>
      </c>
      <c r="B91" s="0" t="s">
        <v>555</v>
      </c>
      <c r="C91" s="0" t="s">
        <v>556</v>
      </c>
      <c r="D91" s="0" t="s">
        <v>557</v>
      </c>
      <c r="E91" s="0" t="s">
        <v>558</v>
      </c>
      <c r="F91" s="0" t="s">
        <v>25</v>
      </c>
      <c r="G91" s="0" t="s">
        <v>556</v>
      </c>
      <c r="H91" s="0" t="e">
        <f aca="false">#N/A</f>
        <v>#N/A</v>
      </c>
      <c r="I91" s="0" t="e">
        <f aca="false">#N/A</f>
        <v>#N/A</v>
      </c>
      <c r="J91" s="0" t="e">
        <f aca="false">#N/A</f>
        <v>#N/A</v>
      </c>
      <c r="K91" s="0" t="e">
        <f aca="false">#N/A</f>
        <v>#N/A</v>
      </c>
      <c r="L91" s="0" t="e">
        <f aca="false">#N/A</f>
        <v>#N/A</v>
      </c>
      <c r="M91" s="0" t="s">
        <v>26</v>
      </c>
      <c r="N91" s="0" t="s">
        <v>26</v>
      </c>
      <c r="O91" s="0" t="s">
        <v>26</v>
      </c>
      <c r="P91" s="0" t="s">
        <v>26</v>
      </c>
      <c r="Q91" s="1" t="b">
        <f aca="false">FALSE()</f>
        <v>0</v>
      </c>
      <c r="R91" s="0" t="e">
        <f aca="false">#N/A</f>
        <v>#N/A</v>
      </c>
      <c r="S91" s="0" t="e">
        <f aca="false">#N/A</f>
        <v>#N/A</v>
      </c>
      <c r="T91" s="2" t="s">
        <v>559</v>
      </c>
    </row>
    <row r="92" customFormat="false" ht="15.85" hidden="false" customHeight="true" outlineLevel="0" collapsed="false">
      <c r="A92" s="0" t="s">
        <v>560</v>
      </c>
      <c r="B92" s="0" t="s">
        <v>561</v>
      </c>
      <c r="C92" s="0" t="s">
        <v>562</v>
      </c>
      <c r="D92" s="0" t="s">
        <v>563</v>
      </c>
      <c r="E92" s="0" t="s">
        <v>564</v>
      </c>
      <c r="F92" s="0" t="s">
        <v>25</v>
      </c>
      <c r="G92" s="0" t="s">
        <v>562</v>
      </c>
      <c r="H92" s="0" t="e">
        <f aca="false">#N/A</f>
        <v>#N/A</v>
      </c>
      <c r="I92" s="0" t="e">
        <f aca="false">#N/A</f>
        <v>#N/A</v>
      </c>
      <c r="J92" s="0" t="e">
        <f aca="false">#N/A</f>
        <v>#N/A</v>
      </c>
      <c r="K92" s="0" t="e">
        <f aca="false">#N/A</f>
        <v>#N/A</v>
      </c>
      <c r="L92" s="0" t="e">
        <f aca="false">#N/A</f>
        <v>#N/A</v>
      </c>
      <c r="M92" s="0" t="s">
        <v>26</v>
      </c>
      <c r="N92" s="0" t="s">
        <v>26</v>
      </c>
      <c r="O92" s="0" t="s">
        <v>26</v>
      </c>
      <c r="P92" s="0" t="s">
        <v>26</v>
      </c>
      <c r="Q92" s="1" t="b">
        <f aca="false">FALSE()</f>
        <v>0</v>
      </c>
      <c r="R92" s="0" t="e">
        <f aca="false">#N/A</f>
        <v>#N/A</v>
      </c>
      <c r="S92" s="0" t="e">
        <f aca="false">#N/A</f>
        <v>#N/A</v>
      </c>
      <c r="T92" s="2" t="s">
        <v>565</v>
      </c>
    </row>
    <row r="93" customFormat="false" ht="15.85" hidden="false" customHeight="true" outlineLevel="0" collapsed="false">
      <c r="A93" s="0" t="s">
        <v>566</v>
      </c>
      <c r="B93" s="0" t="s">
        <v>567</v>
      </c>
      <c r="C93" s="0" t="s">
        <v>568</v>
      </c>
      <c r="D93" s="0" t="s">
        <v>569</v>
      </c>
      <c r="E93" s="0" t="s">
        <v>570</v>
      </c>
      <c r="F93" s="0" t="s">
        <v>25</v>
      </c>
      <c r="G93" s="0" t="s">
        <v>568</v>
      </c>
      <c r="H93" s="0" t="e">
        <f aca="false">#N/A</f>
        <v>#N/A</v>
      </c>
      <c r="I93" s="0" t="e">
        <f aca="false">#N/A</f>
        <v>#N/A</v>
      </c>
      <c r="J93" s="0" t="e">
        <f aca="false">#N/A</f>
        <v>#N/A</v>
      </c>
      <c r="K93" s="0" t="e">
        <f aca="false">#N/A</f>
        <v>#N/A</v>
      </c>
      <c r="L93" s="0" t="e">
        <f aca="false">#N/A</f>
        <v>#N/A</v>
      </c>
      <c r="M93" s="0" t="s">
        <v>26</v>
      </c>
      <c r="N93" s="0" t="s">
        <v>26</v>
      </c>
      <c r="O93" s="0" t="s">
        <v>26</v>
      </c>
      <c r="P93" s="0" t="s">
        <v>26</v>
      </c>
      <c r="Q93" s="1" t="b">
        <f aca="false">FALSE()</f>
        <v>0</v>
      </c>
      <c r="R93" s="0" t="e">
        <f aca="false">#N/A</f>
        <v>#N/A</v>
      </c>
      <c r="S93" s="0" t="e">
        <f aca="false">#N/A</f>
        <v>#N/A</v>
      </c>
      <c r="T93" s="2" t="s">
        <v>571</v>
      </c>
    </row>
    <row r="94" customFormat="false" ht="15.85" hidden="false" customHeight="true" outlineLevel="0" collapsed="false">
      <c r="A94" s="0" t="s">
        <v>572</v>
      </c>
      <c r="B94" s="0" t="s">
        <v>573</v>
      </c>
      <c r="C94" s="0" t="s">
        <v>574</v>
      </c>
      <c r="D94" s="0" t="s">
        <v>575</v>
      </c>
      <c r="E94" s="0" t="s">
        <v>576</v>
      </c>
      <c r="F94" s="0" t="s">
        <v>25</v>
      </c>
      <c r="G94" s="0" t="s">
        <v>574</v>
      </c>
      <c r="H94" s="0" t="e">
        <f aca="false">#N/A</f>
        <v>#N/A</v>
      </c>
      <c r="I94" s="0" t="e">
        <f aca="false">#N/A</f>
        <v>#N/A</v>
      </c>
      <c r="J94" s="0" t="e">
        <f aca="false">#N/A</f>
        <v>#N/A</v>
      </c>
      <c r="K94" s="0" t="e">
        <f aca="false">#N/A</f>
        <v>#N/A</v>
      </c>
      <c r="L94" s="0" t="e">
        <f aca="false">#N/A</f>
        <v>#N/A</v>
      </c>
      <c r="M94" s="0" t="s">
        <v>26</v>
      </c>
      <c r="N94" s="0" t="s">
        <v>26</v>
      </c>
      <c r="O94" s="0" t="s">
        <v>26</v>
      </c>
      <c r="P94" s="0" t="s">
        <v>26</v>
      </c>
      <c r="Q94" s="1" t="b">
        <f aca="false">FALSE()</f>
        <v>0</v>
      </c>
      <c r="R94" s="0" t="e">
        <f aca="false">#N/A</f>
        <v>#N/A</v>
      </c>
      <c r="S94" s="0" t="e">
        <f aca="false">#N/A</f>
        <v>#N/A</v>
      </c>
      <c r="T94" s="2" t="s">
        <v>577</v>
      </c>
    </row>
    <row r="95" customFormat="false" ht="15.85" hidden="false" customHeight="true" outlineLevel="0" collapsed="false">
      <c r="A95" s="0" t="s">
        <v>578</v>
      </c>
      <c r="B95" s="0" t="s">
        <v>579</v>
      </c>
      <c r="C95" s="0" t="s">
        <v>580</v>
      </c>
      <c r="D95" s="0" t="s">
        <v>581</v>
      </c>
      <c r="E95" s="0" t="s">
        <v>582</v>
      </c>
      <c r="F95" s="0" t="s">
        <v>25</v>
      </c>
      <c r="G95" s="0" t="s">
        <v>580</v>
      </c>
      <c r="H95" s="0" t="e">
        <f aca="false">#N/A</f>
        <v>#N/A</v>
      </c>
      <c r="I95" s="0" t="e">
        <f aca="false">#N/A</f>
        <v>#N/A</v>
      </c>
      <c r="J95" s="0" t="e">
        <f aca="false">#N/A</f>
        <v>#N/A</v>
      </c>
      <c r="K95" s="0" t="e">
        <f aca="false">#N/A</f>
        <v>#N/A</v>
      </c>
      <c r="L95" s="0" t="e">
        <f aca="false">#N/A</f>
        <v>#N/A</v>
      </c>
      <c r="M95" s="0" t="s">
        <v>26</v>
      </c>
      <c r="N95" s="0" t="s">
        <v>26</v>
      </c>
      <c r="O95" s="0" t="s">
        <v>26</v>
      </c>
      <c r="P95" s="0" t="s">
        <v>26</v>
      </c>
      <c r="Q95" s="1" t="b">
        <f aca="false">FALSE()</f>
        <v>0</v>
      </c>
      <c r="R95" s="0" t="e">
        <f aca="false">#N/A</f>
        <v>#N/A</v>
      </c>
      <c r="S95" s="0" t="e">
        <f aca="false">#N/A</f>
        <v>#N/A</v>
      </c>
      <c r="T95" s="2" t="s">
        <v>583</v>
      </c>
    </row>
    <row r="96" customFormat="false" ht="15.85" hidden="false" customHeight="true" outlineLevel="0" collapsed="false">
      <c r="A96" s="0" t="s">
        <v>584</v>
      </c>
      <c r="B96" s="0" t="s">
        <v>585</v>
      </c>
      <c r="C96" s="0" t="s">
        <v>586</v>
      </c>
      <c r="D96" s="0" t="s">
        <v>587</v>
      </c>
      <c r="E96" s="0" t="s">
        <v>588</v>
      </c>
      <c r="F96" s="0" t="s">
        <v>25</v>
      </c>
      <c r="G96" s="0" t="s">
        <v>586</v>
      </c>
      <c r="H96" s="0" t="e">
        <f aca="false">#N/A</f>
        <v>#N/A</v>
      </c>
      <c r="I96" s="0" t="e">
        <f aca="false">#N/A</f>
        <v>#N/A</v>
      </c>
      <c r="J96" s="0" t="e">
        <f aca="false">#N/A</f>
        <v>#N/A</v>
      </c>
      <c r="K96" s="0" t="e">
        <f aca="false">#N/A</f>
        <v>#N/A</v>
      </c>
      <c r="L96" s="0" t="e">
        <f aca="false">#N/A</f>
        <v>#N/A</v>
      </c>
      <c r="M96" s="0" t="s">
        <v>26</v>
      </c>
      <c r="N96" s="0" t="s">
        <v>26</v>
      </c>
      <c r="O96" s="0" t="s">
        <v>26</v>
      </c>
      <c r="P96" s="0" t="s">
        <v>26</v>
      </c>
      <c r="Q96" s="1" t="b">
        <f aca="false">FALSE()</f>
        <v>0</v>
      </c>
      <c r="R96" s="0" t="e">
        <f aca="false">#N/A</f>
        <v>#N/A</v>
      </c>
      <c r="S96" s="0" t="e">
        <f aca="false">#N/A</f>
        <v>#N/A</v>
      </c>
      <c r="T96" s="2" t="s">
        <v>589</v>
      </c>
    </row>
    <row r="97" customFormat="false" ht="15.85" hidden="false" customHeight="true" outlineLevel="0" collapsed="false">
      <c r="A97" s="0" t="s">
        <v>590</v>
      </c>
      <c r="B97" s="0" t="s">
        <v>591</v>
      </c>
      <c r="C97" s="0" t="s">
        <v>592</v>
      </c>
      <c r="D97" s="0" t="s">
        <v>593</v>
      </c>
      <c r="E97" s="0" t="s">
        <v>594</v>
      </c>
      <c r="F97" s="0" t="s">
        <v>25</v>
      </c>
      <c r="G97" s="0" t="s">
        <v>592</v>
      </c>
      <c r="H97" s="0" t="e">
        <f aca="false">#N/A</f>
        <v>#N/A</v>
      </c>
      <c r="I97" s="0" t="e">
        <f aca="false">#N/A</f>
        <v>#N/A</v>
      </c>
      <c r="J97" s="0" t="e">
        <f aca="false">#N/A</f>
        <v>#N/A</v>
      </c>
      <c r="K97" s="0" t="e">
        <f aca="false">#N/A</f>
        <v>#N/A</v>
      </c>
      <c r="L97" s="0" t="e">
        <f aca="false">#N/A</f>
        <v>#N/A</v>
      </c>
      <c r="M97" s="0" t="s">
        <v>235</v>
      </c>
      <c r="N97" s="0" t="s">
        <v>235</v>
      </c>
      <c r="O97" s="0" t="s">
        <v>26</v>
      </c>
      <c r="P97" s="0" t="s">
        <v>26</v>
      </c>
      <c r="Q97" s="1" t="b">
        <f aca="false">TRUE()</f>
        <v>1</v>
      </c>
      <c r="R97" s="0" t="s">
        <v>236</v>
      </c>
      <c r="S97" s="0" t="e">
        <f aca="false">#N/A</f>
        <v>#N/A</v>
      </c>
      <c r="T97" s="2" t="s">
        <v>595</v>
      </c>
    </row>
    <row r="98" customFormat="false" ht="15.85" hidden="false" customHeight="true" outlineLevel="0" collapsed="false">
      <c r="A98" s="0" t="s">
        <v>596</v>
      </c>
      <c r="B98" s="0" t="s">
        <v>597</v>
      </c>
      <c r="C98" s="0" t="s">
        <v>598</v>
      </c>
      <c r="D98" s="0" t="s">
        <v>599</v>
      </c>
      <c r="E98" s="0" t="s">
        <v>600</v>
      </c>
      <c r="F98" s="0" t="s">
        <v>25</v>
      </c>
      <c r="G98" s="0" t="s">
        <v>598</v>
      </c>
      <c r="H98" s="0" t="e">
        <f aca="false">#N/A</f>
        <v>#N/A</v>
      </c>
      <c r="I98" s="0" t="e">
        <f aca="false">#N/A</f>
        <v>#N/A</v>
      </c>
      <c r="J98" s="0" t="e">
        <f aca="false">#N/A</f>
        <v>#N/A</v>
      </c>
      <c r="K98" s="0" t="e">
        <f aca="false">#N/A</f>
        <v>#N/A</v>
      </c>
      <c r="L98" s="0" t="e">
        <f aca="false">#N/A</f>
        <v>#N/A</v>
      </c>
      <c r="M98" s="0" t="s">
        <v>26</v>
      </c>
      <c r="N98" s="0" t="s">
        <v>26</v>
      </c>
      <c r="O98" s="0" t="s">
        <v>26</v>
      </c>
      <c r="P98" s="0" t="s">
        <v>26</v>
      </c>
      <c r="Q98" s="1" t="b">
        <f aca="false">FALSE()</f>
        <v>0</v>
      </c>
      <c r="R98" s="0" t="e">
        <f aca="false">#N/A</f>
        <v>#N/A</v>
      </c>
      <c r="S98" s="0" t="e">
        <f aca="false">#N/A</f>
        <v>#N/A</v>
      </c>
      <c r="T98" s="2" t="s">
        <v>601</v>
      </c>
    </row>
    <row r="99" customFormat="false" ht="15.85" hidden="false" customHeight="true" outlineLevel="0" collapsed="false">
      <c r="A99" s="0" t="s">
        <v>602</v>
      </c>
      <c r="B99" s="0" t="s">
        <v>603</v>
      </c>
      <c r="C99" s="0" t="s">
        <v>604</v>
      </c>
      <c r="D99" s="0" t="s">
        <v>605</v>
      </c>
      <c r="E99" s="0" t="s">
        <v>606</v>
      </c>
      <c r="F99" s="0" t="s">
        <v>25</v>
      </c>
      <c r="G99" s="0" t="s">
        <v>604</v>
      </c>
      <c r="H99" s="0" t="e">
        <f aca="false">#N/A</f>
        <v>#N/A</v>
      </c>
      <c r="I99" s="0" t="e">
        <f aca="false">#N/A</f>
        <v>#N/A</v>
      </c>
      <c r="J99" s="0" t="e">
        <f aca="false">#N/A</f>
        <v>#N/A</v>
      </c>
      <c r="K99" s="0" t="e">
        <f aca="false">#N/A</f>
        <v>#N/A</v>
      </c>
      <c r="L99" s="0" t="e">
        <f aca="false">#N/A</f>
        <v>#N/A</v>
      </c>
      <c r="M99" s="0" t="s">
        <v>26</v>
      </c>
      <c r="N99" s="0" t="s">
        <v>26</v>
      </c>
      <c r="O99" s="0" t="s">
        <v>26</v>
      </c>
      <c r="P99" s="0" t="s">
        <v>26</v>
      </c>
      <c r="Q99" s="1" t="b">
        <f aca="false">FALSE()</f>
        <v>0</v>
      </c>
      <c r="R99" s="0" t="e">
        <f aca="false">#N/A</f>
        <v>#N/A</v>
      </c>
      <c r="S99" s="0" t="e">
        <f aca="false">#N/A</f>
        <v>#N/A</v>
      </c>
      <c r="T99" s="2" t="s">
        <v>607</v>
      </c>
    </row>
    <row r="100" customFormat="false" ht="15.85" hidden="false" customHeight="true" outlineLevel="0" collapsed="false">
      <c r="A100" s="0" t="s">
        <v>608</v>
      </c>
      <c r="B100" s="0" t="s">
        <v>609</v>
      </c>
      <c r="C100" s="0" t="s">
        <v>610</v>
      </c>
      <c r="D100" s="0" t="s">
        <v>611</v>
      </c>
      <c r="E100" s="0" t="s">
        <v>612</v>
      </c>
      <c r="F100" s="0" t="s">
        <v>25</v>
      </c>
      <c r="G100" s="0" t="s">
        <v>610</v>
      </c>
      <c r="H100" s="0" t="e">
        <f aca="false">#N/A</f>
        <v>#N/A</v>
      </c>
      <c r="I100" s="0" t="e">
        <f aca="false">#N/A</f>
        <v>#N/A</v>
      </c>
      <c r="J100" s="0" t="e">
        <f aca="false">#N/A</f>
        <v>#N/A</v>
      </c>
      <c r="K100" s="0" t="e">
        <f aca="false">#N/A</f>
        <v>#N/A</v>
      </c>
      <c r="L100" s="0" t="e">
        <f aca="false">#N/A</f>
        <v>#N/A</v>
      </c>
      <c r="M100" s="0" t="s">
        <v>26</v>
      </c>
      <c r="N100" s="0" t="s">
        <v>26</v>
      </c>
      <c r="O100" s="0" t="s">
        <v>26</v>
      </c>
      <c r="P100" s="0" t="s">
        <v>26</v>
      </c>
      <c r="Q100" s="1" t="b">
        <f aca="false">FALSE()</f>
        <v>0</v>
      </c>
      <c r="R100" s="0" t="e">
        <f aca="false">#N/A</f>
        <v>#N/A</v>
      </c>
      <c r="S100" s="0" t="e">
        <f aca="false">#N/A</f>
        <v>#N/A</v>
      </c>
      <c r="T100" s="2" t="s">
        <v>613</v>
      </c>
    </row>
    <row r="101" customFormat="false" ht="15.85" hidden="false" customHeight="true" outlineLevel="0" collapsed="false">
      <c r="A101" s="0" t="s">
        <v>614</v>
      </c>
      <c r="B101" s="0" t="s">
        <v>615</v>
      </c>
      <c r="C101" s="0" t="s">
        <v>616</v>
      </c>
      <c r="D101" s="0" t="s">
        <v>617</v>
      </c>
      <c r="E101" s="0" t="s">
        <v>618</v>
      </c>
      <c r="F101" s="0" t="s">
        <v>25</v>
      </c>
      <c r="G101" s="0" t="s">
        <v>616</v>
      </c>
      <c r="H101" s="0" t="e">
        <f aca="false">#N/A</f>
        <v>#N/A</v>
      </c>
      <c r="I101" s="0" t="e">
        <f aca="false">#N/A</f>
        <v>#N/A</v>
      </c>
      <c r="J101" s="0" t="e">
        <f aca="false">#N/A</f>
        <v>#N/A</v>
      </c>
      <c r="K101" s="0" t="e">
        <f aca="false">#N/A</f>
        <v>#N/A</v>
      </c>
      <c r="L101" s="0" t="e">
        <f aca="false">#N/A</f>
        <v>#N/A</v>
      </c>
      <c r="M101" s="0" t="s">
        <v>26</v>
      </c>
      <c r="N101" s="0" t="s">
        <v>26</v>
      </c>
      <c r="O101" s="0" t="s">
        <v>26</v>
      </c>
      <c r="P101" s="0" t="s">
        <v>26</v>
      </c>
      <c r="Q101" s="1" t="b">
        <f aca="false">FALSE()</f>
        <v>0</v>
      </c>
      <c r="R101" s="0" t="e">
        <f aca="false">#N/A</f>
        <v>#N/A</v>
      </c>
      <c r="S101" s="0" t="e">
        <f aca="false">#N/A</f>
        <v>#N/A</v>
      </c>
      <c r="T101" s="2" t="s">
        <v>619</v>
      </c>
    </row>
    <row r="102" customFormat="false" ht="15.85" hidden="false" customHeight="true" outlineLevel="0" collapsed="false">
      <c r="A102" s="0" t="s">
        <v>620</v>
      </c>
      <c r="B102" s="0" t="s">
        <v>621</v>
      </c>
      <c r="C102" s="0" t="s">
        <v>622</v>
      </c>
      <c r="D102" s="0" t="s">
        <v>623</v>
      </c>
      <c r="E102" s="0" t="s">
        <v>624</v>
      </c>
      <c r="F102" s="0" t="s">
        <v>25</v>
      </c>
      <c r="G102" s="0" t="s">
        <v>622</v>
      </c>
      <c r="H102" s="0" t="e">
        <f aca="false">#N/A</f>
        <v>#N/A</v>
      </c>
      <c r="I102" s="0" t="e">
        <f aca="false">#N/A</f>
        <v>#N/A</v>
      </c>
      <c r="J102" s="0" t="e">
        <f aca="false">#N/A</f>
        <v>#N/A</v>
      </c>
      <c r="K102" s="0" t="e">
        <f aca="false">#N/A</f>
        <v>#N/A</v>
      </c>
      <c r="L102" s="0" t="e">
        <f aca="false">#N/A</f>
        <v>#N/A</v>
      </c>
      <c r="M102" s="0" t="s">
        <v>26</v>
      </c>
      <c r="N102" s="0" t="s">
        <v>26</v>
      </c>
      <c r="O102" s="0" t="s">
        <v>26</v>
      </c>
      <c r="P102" s="0" t="s">
        <v>26</v>
      </c>
      <c r="Q102" s="1" t="b">
        <f aca="false">FALSE()</f>
        <v>0</v>
      </c>
      <c r="R102" s="0" t="e">
        <f aca="false">#N/A</f>
        <v>#N/A</v>
      </c>
      <c r="S102" s="0" t="e">
        <f aca="false">#N/A</f>
        <v>#N/A</v>
      </c>
      <c r="T102" s="2" t="s">
        <v>625</v>
      </c>
    </row>
    <row r="103" customFormat="false" ht="15.85" hidden="false" customHeight="true" outlineLevel="0" collapsed="false">
      <c r="A103" s="0" t="s">
        <v>626</v>
      </c>
      <c r="B103" s="0" t="s">
        <v>627</v>
      </c>
      <c r="C103" s="0" t="s">
        <v>628</v>
      </c>
      <c r="D103" s="0" t="s">
        <v>629</v>
      </c>
      <c r="E103" s="0" t="s">
        <v>630</v>
      </c>
      <c r="F103" s="0" t="s">
        <v>25</v>
      </c>
      <c r="G103" s="0" t="s">
        <v>628</v>
      </c>
      <c r="H103" s="0" t="e">
        <f aca="false">#N/A</f>
        <v>#N/A</v>
      </c>
      <c r="I103" s="0" t="e">
        <f aca="false">#N/A</f>
        <v>#N/A</v>
      </c>
      <c r="J103" s="0" t="e">
        <f aca="false">#N/A</f>
        <v>#N/A</v>
      </c>
      <c r="K103" s="0" t="e">
        <f aca="false">#N/A</f>
        <v>#N/A</v>
      </c>
      <c r="L103" s="0" t="e">
        <f aca="false">#N/A</f>
        <v>#N/A</v>
      </c>
      <c r="M103" s="0" t="s">
        <v>26</v>
      </c>
      <c r="N103" s="0" t="s">
        <v>26</v>
      </c>
      <c r="O103" s="0" t="s">
        <v>26</v>
      </c>
      <c r="P103" s="0" t="s">
        <v>26</v>
      </c>
      <c r="Q103" s="1" t="b">
        <f aca="false">FALSE()</f>
        <v>0</v>
      </c>
      <c r="R103" s="0" t="e">
        <f aca="false">#N/A</f>
        <v>#N/A</v>
      </c>
      <c r="S103" s="0" t="e">
        <f aca="false">#N/A</f>
        <v>#N/A</v>
      </c>
      <c r="T103" s="2" t="s">
        <v>631</v>
      </c>
    </row>
    <row r="104" customFormat="false" ht="15.85" hidden="false" customHeight="true" outlineLevel="0" collapsed="false">
      <c r="A104" s="0" t="s">
        <v>632</v>
      </c>
      <c r="B104" s="0" t="s">
        <v>633</v>
      </c>
      <c r="C104" s="0" t="s">
        <v>634</v>
      </c>
      <c r="D104" s="0" t="s">
        <v>635</v>
      </c>
      <c r="E104" s="0" t="s">
        <v>636</v>
      </c>
      <c r="F104" s="0" t="s">
        <v>25</v>
      </c>
      <c r="G104" s="0" t="s">
        <v>634</v>
      </c>
      <c r="H104" s="0" t="e">
        <f aca="false">#N/A</f>
        <v>#N/A</v>
      </c>
      <c r="I104" s="0" t="e">
        <f aca="false">#N/A</f>
        <v>#N/A</v>
      </c>
      <c r="J104" s="0" t="e">
        <f aca="false">#N/A</f>
        <v>#N/A</v>
      </c>
      <c r="K104" s="0" t="e">
        <f aca="false">#N/A</f>
        <v>#N/A</v>
      </c>
      <c r="L104" s="0" t="e">
        <f aca="false">#N/A</f>
        <v>#N/A</v>
      </c>
      <c r="M104" s="0" t="s">
        <v>26</v>
      </c>
      <c r="N104" s="0" t="s">
        <v>26</v>
      </c>
      <c r="O104" s="0" t="s">
        <v>26</v>
      </c>
      <c r="P104" s="0" t="s">
        <v>26</v>
      </c>
      <c r="Q104" s="1" t="b">
        <f aca="false">FALSE()</f>
        <v>0</v>
      </c>
      <c r="R104" s="0" t="e">
        <f aca="false">#N/A</f>
        <v>#N/A</v>
      </c>
      <c r="S104" s="0" t="e">
        <f aca="false">#N/A</f>
        <v>#N/A</v>
      </c>
      <c r="T104" s="2" t="s">
        <v>637</v>
      </c>
    </row>
    <row r="105" customFormat="false" ht="15.85" hidden="false" customHeight="true" outlineLevel="0" collapsed="false">
      <c r="A105" s="0" t="s">
        <v>638</v>
      </c>
      <c r="B105" s="0" t="s">
        <v>639</v>
      </c>
      <c r="C105" s="0" t="s">
        <v>640</v>
      </c>
      <c r="D105" s="0" t="s">
        <v>641</v>
      </c>
      <c r="E105" s="0" t="s">
        <v>642</v>
      </c>
      <c r="F105" s="0" t="s">
        <v>25</v>
      </c>
      <c r="G105" s="0" t="s">
        <v>640</v>
      </c>
      <c r="H105" s="0" t="e">
        <f aca="false">#N/A</f>
        <v>#N/A</v>
      </c>
      <c r="I105" s="0" t="e">
        <f aca="false">#N/A</f>
        <v>#N/A</v>
      </c>
      <c r="J105" s="0" t="e">
        <f aca="false">#N/A</f>
        <v>#N/A</v>
      </c>
      <c r="K105" s="0" t="e">
        <f aca="false">#N/A</f>
        <v>#N/A</v>
      </c>
      <c r="L105" s="0" t="e">
        <f aca="false">#N/A</f>
        <v>#N/A</v>
      </c>
      <c r="M105" s="0" t="s">
        <v>26</v>
      </c>
      <c r="N105" s="0" t="s">
        <v>26</v>
      </c>
      <c r="O105" s="0" t="s">
        <v>26</v>
      </c>
      <c r="P105" s="0" t="s">
        <v>26</v>
      </c>
      <c r="Q105" s="1" t="b">
        <f aca="false">FALSE()</f>
        <v>0</v>
      </c>
      <c r="R105" s="0" t="e">
        <f aca="false">#N/A</f>
        <v>#N/A</v>
      </c>
      <c r="S105" s="0" t="e">
        <f aca="false">#N/A</f>
        <v>#N/A</v>
      </c>
      <c r="T105" s="2" t="s">
        <v>643</v>
      </c>
    </row>
    <row r="106" customFormat="false" ht="15.85" hidden="false" customHeight="true" outlineLevel="0" collapsed="false">
      <c r="A106" s="0" t="s">
        <v>644</v>
      </c>
      <c r="B106" s="0" t="s">
        <v>645</v>
      </c>
      <c r="C106" s="2" t="s">
        <v>646</v>
      </c>
      <c r="D106" s="0" t="s">
        <v>647</v>
      </c>
      <c r="E106" s="0" t="s">
        <v>648</v>
      </c>
      <c r="F106" s="0" t="s">
        <v>25</v>
      </c>
      <c r="G106" s="2" t="s">
        <v>646</v>
      </c>
      <c r="H106" s="0" t="e">
        <f aca="false">#N/A</f>
        <v>#N/A</v>
      </c>
      <c r="I106" s="0" t="e">
        <f aca="false">#N/A</f>
        <v>#N/A</v>
      </c>
      <c r="J106" s="0" t="e">
        <f aca="false">#N/A</f>
        <v>#N/A</v>
      </c>
      <c r="K106" s="0" t="e">
        <f aca="false">#N/A</f>
        <v>#N/A</v>
      </c>
      <c r="L106" s="0" t="e">
        <f aca="false">#N/A</f>
        <v>#N/A</v>
      </c>
      <c r="M106" s="0" t="s">
        <v>26</v>
      </c>
      <c r="N106" s="0" t="s">
        <v>26</v>
      </c>
      <c r="O106" s="0" t="s">
        <v>26</v>
      </c>
      <c r="P106" s="0" t="s">
        <v>26</v>
      </c>
      <c r="Q106" s="1" t="b">
        <f aca="false">FALSE()</f>
        <v>0</v>
      </c>
      <c r="R106" s="0" t="e">
        <f aca="false">#N/A</f>
        <v>#N/A</v>
      </c>
      <c r="S106" s="0" t="e">
        <f aca="false">#N/A</f>
        <v>#N/A</v>
      </c>
      <c r="T106" s="2" t="s">
        <v>649</v>
      </c>
    </row>
    <row r="107" customFormat="false" ht="15.85" hidden="false" customHeight="true" outlineLevel="0" collapsed="false">
      <c r="A107" s="0" t="s">
        <v>650</v>
      </c>
      <c r="B107" s="0" t="s">
        <v>651</v>
      </c>
      <c r="C107" s="0" t="s">
        <v>652</v>
      </c>
      <c r="D107" s="0" t="s">
        <v>653</v>
      </c>
      <c r="E107" s="0" t="s">
        <v>654</v>
      </c>
      <c r="F107" s="0" t="s">
        <v>25</v>
      </c>
      <c r="G107" s="0" t="s">
        <v>652</v>
      </c>
      <c r="H107" s="0" t="e">
        <f aca="false">#N/A</f>
        <v>#N/A</v>
      </c>
      <c r="I107" s="0" t="e">
        <f aca="false">#N/A</f>
        <v>#N/A</v>
      </c>
      <c r="J107" s="0" t="e">
        <f aca="false">#N/A</f>
        <v>#N/A</v>
      </c>
      <c r="K107" s="0" t="e">
        <f aca="false">#N/A</f>
        <v>#N/A</v>
      </c>
      <c r="L107" s="0" t="e">
        <f aca="false">#N/A</f>
        <v>#N/A</v>
      </c>
      <c r="M107" s="0" t="s">
        <v>26</v>
      </c>
      <c r="N107" s="0" t="s">
        <v>26</v>
      </c>
      <c r="O107" s="0" t="s">
        <v>26</v>
      </c>
      <c r="P107" s="0" t="s">
        <v>26</v>
      </c>
      <c r="Q107" s="1" t="b">
        <f aca="false">FALSE()</f>
        <v>0</v>
      </c>
      <c r="R107" s="0" t="e">
        <f aca="false">#N/A</f>
        <v>#N/A</v>
      </c>
      <c r="S107" s="0" t="e">
        <f aca="false">#N/A</f>
        <v>#N/A</v>
      </c>
      <c r="T107" s="2" t="s">
        <v>655</v>
      </c>
    </row>
    <row r="108" customFormat="false" ht="15.85" hidden="false" customHeight="true" outlineLevel="0" collapsed="false">
      <c r="A108" s="0" t="s">
        <v>656</v>
      </c>
      <c r="B108" s="0" t="s">
        <v>657</v>
      </c>
      <c r="C108" s="0" t="s">
        <v>658</v>
      </c>
      <c r="D108" s="0" t="s">
        <v>659</v>
      </c>
      <c r="E108" s="0" t="s">
        <v>654</v>
      </c>
      <c r="F108" s="0" t="s">
        <v>25</v>
      </c>
      <c r="G108" s="0" t="s">
        <v>658</v>
      </c>
      <c r="H108" s="0" t="e">
        <f aca="false">#N/A</f>
        <v>#N/A</v>
      </c>
      <c r="I108" s="0" t="e">
        <f aca="false">#N/A</f>
        <v>#N/A</v>
      </c>
      <c r="J108" s="0" t="e">
        <f aca="false">#N/A</f>
        <v>#N/A</v>
      </c>
      <c r="K108" s="0" t="e">
        <f aca="false">#N/A</f>
        <v>#N/A</v>
      </c>
      <c r="L108" s="0" t="e">
        <f aca="false">#N/A</f>
        <v>#N/A</v>
      </c>
      <c r="M108" s="0" t="s">
        <v>26</v>
      </c>
      <c r="N108" s="0" t="s">
        <v>26</v>
      </c>
      <c r="O108" s="0" t="s">
        <v>26</v>
      </c>
      <c r="P108" s="0" t="s">
        <v>26</v>
      </c>
      <c r="Q108" s="1" t="b">
        <f aca="false">FALSE()</f>
        <v>0</v>
      </c>
      <c r="R108" s="0" t="e">
        <f aca="false">#N/A</f>
        <v>#N/A</v>
      </c>
      <c r="S108" s="0" t="e">
        <f aca="false">#N/A</f>
        <v>#N/A</v>
      </c>
      <c r="T108" s="2" t="s">
        <v>660</v>
      </c>
    </row>
    <row r="109" customFormat="false" ht="15.85" hidden="false" customHeight="true" outlineLevel="0" collapsed="false">
      <c r="A109" s="0" t="s">
        <v>661</v>
      </c>
      <c r="B109" s="0" t="s">
        <v>662</v>
      </c>
      <c r="C109" s="0" t="s">
        <v>663</v>
      </c>
      <c r="D109" s="0" t="s">
        <v>664</v>
      </c>
      <c r="E109" s="0" t="s">
        <v>665</v>
      </c>
      <c r="F109" s="0" t="s">
        <v>25</v>
      </c>
      <c r="G109" s="0" t="s">
        <v>663</v>
      </c>
      <c r="H109" s="0" t="e">
        <f aca="false">#N/A</f>
        <v>#N/A</v>
      </c>
      <c r="I109" s="0" t="e">
        <f aca="false">#N/A</f>
        <v>#N/A</v>
      </c>
      <c r="J109" s="0" t="e">
        <f aca="false">#N/A</f>
        <v>#N/A</v>
      </c>
      <c r="K109" s="0" t="e">
        <f aca="false">#N/A</f>
        <v>#N/A</v>
      </c>
      <c r="L109" s="0" t="e">
        <f aca="false">#N/A</f>
        <v>#N/A</v>
      </c>
      <c r="M109" s="0" t="s">
        <v>26</v>
      </c>
      <c r="N109" s="0" t="s">
        <v>26</v>
      </c>
      <c r="O109" s="0" t="s">
        <v>26</v>
      </c>
      <c r="P109" s="0" t="s">
        <v>26</v>
      </c>
      <c r="Q109" s="1" t="b">
        <f aca="false">FALSE()</f>
        <v>0</v>
      </c>
      <c r="R109" s="0" t="e">
        <f aca="false">#N/A</f>
        <v>#N/A</v>
      </c>
      <c r="S109" s="0" t="e">
        <f aca="false">#N/A</f>
        <v>#N/A</v>
      </c>
      <c r="T109" s="2" t="s">
        <v>666</v>
      </c>
    </row>
    <row r="110" customFormat="false" ht="15.85" hidden="false" customHeight="true" outlineLevel="0" collapsed="false">
      <c r="A110" s="0" t="s">
        <v>667</v>
      </c>
      <c r="B110" s="0" t="s">
        <v>668</v>
      </c>
      <c r="C110" s="0" t="s">
        <v>669</v>
      </c>
      <c r="D110" s="0" t="s">
        <v>670</v>
      </c>
      <c r="E110" s="0" t="s">
        <v>671</v>
      </c>
      <c r="F110" s="0" t="s">
        <v>25</v>
      </c>
      <c r="G110" s="0" t="s">
        <v>669</v>
      </c>
      <c r="H110" s="0" t="e">
        <f aca="false">#N/A</f>
        <v>#N/A</v>
      </c>
      <c r="I110" s="0" t="e">
        <f aca="false">#N/A</f>
        <v>#N/A</v>
      </c>
      <c r="J110" s="0" t="e">
        <f aca="false">#N/A</f>
        <v>#N/A</v>
      </c>
      <c r="K110" s="0" t="e">
        <f aca="false">#N/A</f>
        <v>#N/A</v>
      </c>
      <c r="L110" s="0" t="e">
        <f aca="false">#N/A</f>
        <v>#N/A</v>
      </c>
      <c r="M110" s="0" t="s">
        <v>26</v>
      </c>
      <c r="N110" s="0" t="s">
        <v>26</v>
      </c>
      <c r="O110" s="0" t="s">
        <v>26</v>
      </c>
      <c r="P110" s="0" t="s">
        <v>26</v>
      </c>
      <c r="Q110" s="1" t="b">
        <f aca="false">FALSE()</f>
        <v>0</v>
      </c>
      <c r="R110" s="0" t="e">
        <f aca="false">#N/A</f>
        <v>#N/A</v>
      </c>
      <c r="S110" s="0" t="e">
        <f aca="false">#N/A</f>
        <v>#N/A</v>
      </c>
      <c r="T110" s="2" t="s">
        <v>672</v>
      </c>
    </row>
    <row r="111" customFormat="false" ht="15.85" hidden="false" customHeight="true" outlineLevel="0" collapsed="false">
      <c r="A111" s="0" t="s">
        <v>673</v>
      </c>
      <c r="B111" s="0" t="s">
        <v>674</v>
      </c>
      <c r="C111" s="0" t="s">
        <v>675</v>
      </c>
      <c r="D111" s="0" t="s">
        <v>676</v>
      </c>
      <c r="E111" s="0" t="s">
        <v>677</v>
      </c>
      <c r="F111" s="0" t="s">
        <v>25</v>
      </c>
      <c r="G111" s="0" t="s">
        <v>675</v>
      </c>
      <c r="H111" s="0" t="e">
        <f aca="false">#N/A</f>
        <v>#N/A</v>
      </c>
      <c r="I111" s="0" t="e">
        <f aca="false">#N/A</f>
        <v>#N/A</v>
      </c>
      <c r="J111" s="0" t="e">
        <f aca="false">#N/A</f>
        <v>#N/A</v>
      </c>
      <c r="K111" s="0" t="e">
        <f aca="false">#N/A</f>
        <v>#N/A</v>
      </c>
      <c r="L111" s="0" t="e">
        <f aca="false">#N/A</f>
        <v>#N/A</v>
      </c>
      <c r="M111" s="0" t="s">
        <v>26</v>
      </c>
      <c r="N111" s="0" t="s">
        <v>26</v>
      </c>
      <c r="O111" s="0" t="s">
        <v>26</v>
      </c>
      <c r="P111" s="0" t="s">
        <v>26</v>
      </c>
      <c r="Q111" s="1" t="b">
        <f aca="false">FALSE()</f>
        <v>0</v>
      </c>
      <c r="R111" s="0" t="e">
        <f aca="false">#N/A</f>
        <v>#N/A</v>
      </c>
      <c r="S111" s="0" t="e">
        <f aca="false">#N/A</f>
        <v>#N/A</v>
      </c>
      <c r="T111" s="2" t="s">
        <v>678</v>
      </c>
    </row>
    <row r="112" customFormat="false" ht="15.85" hidden="false" customHeight="true" outlineLevel="0" collapsed="false">
      <c r="A112" s="0" t="s">
        <v>679</v>
      </c>
      <c r="B112" s="0" t="s">
        <v>680</v>
      </c>
      <c r="C112" s="0" t="s">
        <v>681</v>
      </c>
      <c r="D112" s="0" t="s">
        <v>682</v>
      </c>
      <c r="E112" s="0" t="s">
        <v>683</v>
      </c>
      <c r="F112" s="0" t="s">
        <v>25</v>
      </c>
      <c r="G112" s="0" t="s">
        <v>681</v>
      </c>
      <c r="H112" s="0" t="e">
        <f aca="false">#N/A</f>
        <v>#N/A</v>
      </c>
      <c r="I112" s="0" t="e">
        <f aca="false">#N/A</f>
        <v>#N/A</v>
      </c>
      <c r="J112" s="0" t="e">
        <f aca="false">#N/A</f>
        <v>#N/A</v>
      </c>
      <c r="K112" s="0" t="e">
        <f aca="false">#N/A</f>
        <v>#N/A</v>
      </c>
      <c r="L112" s="0" t="e">
        <f aca="false">#N/A</f>
        <v>#N/A</v>
      </c>
      <c r="M112" s="0" t="s">
        <v>26</v>
      </c>
      <c r="N112" s="0" t="s">
        <v>26</v>
      </c>
      <c r="O112" s="0" t="s">
        <v>26</v>
      </c>
      <c r="P112" s="0" t="s">
        <v>26</v>
      </c>
      <c r="Q112" s="1" t="b">
        <f aca="false">FALSE()</f>
        <v>0</v>
      </c>
      <c r="R112" s="0" t="e">
        <f aca="false">#N/A</f>
        <v>#N/A</v>
      </c>
      <c r="S112" s="0" t="e">
        <f aca="false">#N/A</f>
        <v>#N/A</v>
      </c>
      <c r="T112" s="2" t="s">
        <v>684</v>
      </c>
    </row>
    <row r="113" customFormat="false" ht="15.85" hidden="false" customHeight="true" outlineLevel="0" collapsed="false">
      <c r="A113" s="0" t="s">
        <v>685</v>
      </c>
      <c r="B113" s="0" t="s">
        <v>686</v>
      </c>
      <c r="C113" s="0" t="s">
        <v>687</v>
      </c>
      <c r="D113" s="0" t="s">
        <v>688</v>
      </c>
      <c r="E113" s="0" t="s">
        <v>689</v>
      </c>
      <c r="F113" s="0" t="s">
        <v>25</v>
      </c>
      <c r="G113" s="0" t="s">
        <v>687</v>
      </c>
      <c r="H113" s="0" t="e">
        <f aca="false">#N/A</f>
        <v>#N/A</v>
      </c>
      <c r="I113" s="0" t="e">
        <f aca="false">#N/A</f>
        <v>#N/A</v>
      </c>
      <c r="J113" s="0" t="e">
        <f aca="false">#N/A</f>
        <v>#N/A</v>
      </c>
      <c r="K113" s="0" t="e">
        <f aca="false">#N/A</f>
        <v>#N/A</v>
      </c>
      <c r="L113" s="0" t="e">
        <f aca="false">#N/A</f>
        <v>#N/A</v>
      </c>
      <c r="M113" s="0" t="s">
        <v>26</v>
      </c>
      <c r="N113" s="0" t="s">
        <v>26</v>
      </c>
      <c r="O113" s="0" t="s">
        <v>26</v>
      </c>
      <c r="P113" s="0" t="s">
        <v>26</v>
      </c>
      <c r="Q113" s="1" t="b">
        <f aca="false">FALSE()</f>
        <v>0</v>
      </c>
      <c r="R113" s="0" t="e">
        <f aca="false">#N/A</f>
        <v>#N/A</v>
      </c>
      <c r="S113" s="0" t="e">
        <f aca="false">#N/A</f>
        <v>#N/A</v>
      </c>
      <c r="T113" s="2" t="s">
        <v>690</v>
      </c>
    </row>
    <row r="114" customFormat="false" ht="15.85" hidden="false" customHeight="true" outlineLevel="0" collapsed="false">
      <c r="A114" s="0" t="s">
        <v>691</v>
      </c>
      <c r="B114" s="0" t="s">
        <v>692</v>
      </c>
      <c r="C114" s="0" t="s">
        <v>693</v>
      </c>
      <c r="D114" s="0" t="s">
        <v>694</v>
      </c>
      <c r="E114" s="0" t="s">
        <v>695</v>
      </c>
      <c r="F114" s="0" t="s">
        <v>25</v>
      </c>
      <c r="G114" s="0" t="s">
        <v>693</v>
      </c>
      <c r="H114" s="0" t="e">
        <f aca="false">#N/A</f>
        <v>#N/A</v>
      </c>
      <c r="I114" s="0" t="e">
        <f aca="false">#N/A</f>
        <v>#N/A</v>
      </c>
      <c r="J114" s="0" t="e">
        <f aca="false">#N/A</f>
        <v>#N/A</v>
      </c>
      <c r="K114" s="0" t="e">
        <f aca="false">#N/A</f>
        <v>#N/A</v>
      </c>
      <c r="L114" s="0" t="e">
        <f aca="false">#N/A</f>
        <v>#N/A</v>
      </c>
      <c r="M114" s="0" t="s">
        <v>26</v>
      </c>
      <c r="N114" s="0" t="s">
        <v>26</v>
      </c>
      <c r="O114" s="0" t="s">
        <v>26</v>
      </c>
      <c r="P114" s="0" t="s">
        <v>26</v>
      </c>
      <c r="Q114" s="1" t="b">
        <f aca="false">FALSE()</f>
        <v>0</v>
      </c>
      <c r="R114" s="0" t="e">
        <f aca="false">#N/A</f>
        <v>#N/A</v>
      </c>
      <c r="S114" s="0" t="e">
        <f aca="false">#N/A</f>
        <v>#N/A</v>
      </c>
      <c r="T114" s="2" t="s">
        <v>696</v>
      </c>
    </row>
    <row r="115" customFormat="false" ht="15.85" hidden="false" customHeight="true" outlineLevel="0" collapsed="false">
      <c r="A115" s="0" t="s">
        <v>697</v>
      </c>
      <c r="B115" s="0" t="s">
        <v>698</v>
      </c>
      <c r="C115" s="0" t="s">
        <v>699</v>
      </c>
      <c r="D115" s="0" t="s">
        <v>700</v>
      </c>
      <c r="E115" s="0" t="s">
        <v>701</v>
      </c>
      <c r="F115" s="0" t="s">
        <v>25</v>
      </c>
      <c r="G115" s="0" t="s">
        <v>699</v>
      </c>
      <c r="H115" s="0" t="e">
        <f aca="false">#N/A</f>
        <v>#N/A</v>
      </c>
      <c r="I115" s="0" t="e">
        <f aca="false">#N/A</f>
        <v>#N/A</v>
      </c>
      <c r="J115" s="0" t="e">
        <f aca="false">#N/A</f>
        <v>#N/A</v>
      </c>
      <c r="K115" s="0" t="e">
        <f aca="false">#N/A</f>
        <v>#N/A</v>
      </c>
      <c r="L115" s="0" t="e">
        <f aca="false">#N/A</f>
        <v>#N/A</v>
      </c>
      <c r="M115" s="0" t="s">
        <v>26</v>
      </c>
      <c r="N115" s="0" t="s">
        <v>26</v>
      </c>
      <c r="O115" s="0" t="s">
        <v>26</v>
      </c>
      <c r="P115" s="0" t="s">
        <v>26</v>
      </c>
      <c r="Q115" s="1" t="b">
        <f aca="false">FALSE()</f>
        <v>0</v>
      </c>
      <c r="R115" s="0" t="e">
        <f aca="false">#N/A</f>
        <v>#N/A</v>
      </c>
      <c r="S115" s="0" t="e">
        <f aca="false">#N/A</f>
        <v>#N/A</v>
      </c>
      <c r="T115" s="2" t="s">
        <v>702</v>
      </c>
    </row>
    <row r="116" customFormat="false" ht="15.85" hidden="false" customHeight="true" outlineLevel="0" collapsed="false">
      <c r="A116" s="0" t="s">
        <v>703</v>
      </c>
      <c r="B116" s="0" t="s">
        <v>704</v>
      </c>
      <c r="C116" s="0" t="s">
        <v>705</v>
      </c>
      <c r="D116" s="0" t="s">
        <v>706</v>
      </c>
      <c r="E116" s="0" t="s">
        <v>707</v>
      </c>
      <c r="F116" s="0" t="s">
        <v>25</v>
      </c>
      <c r="G116" s="0" t="s">
        <v>705</v>
      </c>
      <c r="H116" s="0" t="e">
        <f aca="false">#N/A</f>
        <v>#N/A</v>
      </c>
      <c r="I116" s="0" t="e">
        <f aca="false">#N/A</f>
        <v>#N/A</v>
      </c>
      <c r="J116" s="0" t="e">
        <f aca="false">#N/A</f>
        <v>#N/A</v>
      </c>
      <c r="K116" s="0" t="e">
        <f aca="false">#N/A</f>
        <v>#N/A</v>
      </c>
      <c r="L116" s="0" t="e">
        <f aca="false">#N/A</f>
        <v>#N/A</v>
      </c>
      <c r="M116" s="0" t="s">
        <v>26</v>
      </c>
      <c r="N116" s="0" t="s">
        <v>26</v>
      </c>
      <c r="O116" s="0" t="s">
        <v>26</v>
      </c>
      <c r="P116" s="0" t="s">
        <v>26</v>
      </c>
      <c r="Q116" s="1" t="b">
        <f aca="false">FALSE()</f>
        <v>0</v>
      </c>
      <c r="R116" s="0" t="e">
        <f aca="false">#N/A</f>
        <v>#N/A</v>
      </c>
      <c r="S116" s="0" t="e">
        <f aca="false">#N/A</f>
        <v>#N/A</v>
      </c>
      <c r="T116" s="2" t="s">
        <v>708</v>
      </c>
    </row>
    <row r="117" customFormat="false" ht="15.85" hidden="false" customHeight="true" outlineLevel="0" collapsed="false">
      <c r="A117" s="0" t="s">
        <v>709</v>
      </c>
      <c r="B117" s="0" t="s">
        <v>549</v>
      </c>
      <c r="C117" s="0" t="s">
        <v>710</v>
      </c>
      <c r="D117" s="0" t="s">
        <v>711</v>
      </c>
      <c r="E117" s="0" t="s">
        <v>712</v>
      </c>
      <c r="F117" s="0" t="s">
        <v>25</v>
      </c>
      <c r="G117" s="0" t="s">
        <v>710</v>
      </c>
      <c r="H117" s="0" t="e">
        <f aca="false">#N/A</f>
        <v>#N/A</v>
      </c>
      <c r="I117" s="0" t="e">
        <f aca="false">#N/A</f>
        <v>#N/A</v>
      </c>
      <c r="J117" s="0" t="e">
        <f aca="false">#N/A</f>
        <v>#N/A</v>
      </c>
      <c r="K117" s="0" t="e">
        <f aca="false">#N/A</f>
        <v>#N/A</v>
      </c>
      <c r="L117" s="0" t="e">
        <f aca="false">#N/A</f>
        <v>#N/A</v>
      </c>
      <c r="M117" s="0" t="s">
        <v>26</v>
      </c>
      <c r="N117" s="0" t="s">
        <v>26</v>
      </c>
      <c r="O117" s="0" t="s">
        <v>26</v>
      </c>
      <c r="P117" s="0" t="s">
        <v>26</v>
      </c>
      <c r="Q117" s="1" t="b">
        <f aca="false">FALSE()</f>
        <v>0</v>
      </c>
      <c r="R117" s="0" t="e">
        <f aca="false">#N/A</f>
        <v>#N/A</v>
      </c>
      <c r="S117" s="0" t="e">
        <f aca="false">#N/A</f>
        <v>#N/A</v>
      </c>
      <c r="T117" s="2" t="s">
        <v>713</v>
      </c>
    </row>
    <row r="118" customFormat="false" ht="15.85" hidden="false" customHeight="true" outlineLevel="0" collapsed="false">
      <c r="A118" s="0" t="s">
        <v>714</v>
      </c>
      <c r="B118" s="0" t="s">
        <v>715</v>
      </c>
      <c r="C118" s="0" t="s">
        <v>716</v>
      </c>
      <c r="D118" s="0" t="s">
        <v>717</v>
      </c>
      <c r="E118" s="0" t="s">
        <v>718</v>
      </c>
      <c r="F118" s="0" t="s">
        <v>25</v>
      </c>
      <c r="G118" s="0" t="s">
        <v>716</v>
      </c>
      <c r="H118" s="0" t="e">
        <f aca="false">#N/A</f>
        <v>#N/A</v>
      </c>
      <c r="I118" s="0" t="e">
        <f aca="false">#N/A</f>
        <v>#N/A</v>
      </c>
      <c r="J118" s="0" t="e">
        <f aca="false">#N/A</f>
        <v>#N/A</v>
      </c>
      <c r="K118" s="0" t="e">
        <f aca="false">#N/A</f>
        <v>#N/A</v>
      </c>
      <c r="L118" s="0" t="e">
        <f aca="false">#N/A</f>
        <v>#N/A</v>
      </c>
      <c r="M118" s="0" t="s">
        <v>26</v>
      </c>
      <c r="N118" s="0" t="s">
        <v>26</v>
      </c>
      <c r="O118" s="0" t="s">
        <v>26</v>
      </c>
      <c r="P118" s="0" t="s">
        <v>26</v>
      </c>
      <c r="Q118" s="1" t="b">
        <f aca="false">FALSE()</f>
        <v>0</v>
      </c>
      <c r="R118" s="0" t="e">
        <f aca="false">#N/A</f>
        <v>#N/A</v>
      </c>
      <c r="S118" s="0" t="e">
        <f aca="false">#N/A</f>
        <v>#N/A</v>
      </c>
      <c r="T118" s="2" t="s">
        <v>719</v>
      </c>
    </row>
    <row r="119" customFormat="false" ht="15.85" hidden="false" customHeight="true" outlineLevel="0" collapsed="false">
      <c r="A119" s="0" t="s">
        <v>720</v>
      </c>
      <c r="B119" s="0" t="e">
        <f aca="false">#N/A</f>
        <v>#N/A</v>
      </c>
      <c r="C119" s="0" t="s">
        <v>721</v>
      </c>
      <c r="D119" s="0" t="s">
        <v>722</v>
      </c>
      <c r="E119" s="0" t="e">
        <f aca="false">#N/A</f>
        <v>#N/A</v>
      </c>
      <c r="F119" s="0" t="s">
        <v>25</v>
      </c>
      <c r="G119" s="0" t="s">
        <v>721</v>
      </c>
      <c r="H119" s="0" t="e">
        <f aca="false">#N/A</f>
        <v>#N/A</v>
      </c>
      <c r="I119" s="0" t="e">
        <f aca="false">#N/A</f>
        <v>#N/A</v>
      </c>
      <c r="J119" s="0" t="e">
        <f aca="false">#N/A</f>
        <v>#N/A</v>
      </c>
      <c r="K119" s="0" t="e">
        <f aca="false">#N/A</f>
        <v>#N/A</v>
      </c>
      <c r="L119" s="0" t="e">
        <f aca="false">#N/A</f>
        <v>#N/A</v>
      </c>
      <c r="M119" s="0" t="s">
        <v>26</v>
      </c>
      <c r="N119" s="0" t="s">
        <v>26</v>
      </c>
      <c r="O119" s="0" t="s">
        <v>26</v>
      </c>
      <c r="P119" s="0" t="s">
        <v>26</v>
      </c>
      <c r="Q119" s="1" t="b">
        <f aca="false">FALSE()</f>
        <v>0</v>
      </c>
      <c r="R119" s="0" t="e">
        <f aca="false">#N/A</f>
        <v>#N/A</v>
      </c>
      <c r="S119" s="0" t="e">
        <f aca="false">#N/A</f>
        <v>#N/A</v>
      </c>
      <c r="T119" s="2" t="s">
        <v>723</v>
      </c>
    </row>
    <row r="120" customFormat="false" ht="15.85" hidden="false" customHeight="true" outlineLevel="0" collapsed="false">
      <c r="A120" s="0" t="s">
        <v>724</v>
      </c>
      <c r="B120" s="0" t="e">
        <f aca="false">#N/A</f>
        <v>#N/A</v>
      </c>
      <c r="C120" s="0" t="s">
        <v>725</v>
      </c>
      <c r="D120" s="0" t="s">
        <v>726</v>
      </c>
      <c r="E120" s="0" t="e">
        <f aca="false">#N/A</f>
        <v>#N/A</v>
      </c>
      <c r="F120" s="0" t="s">
        <v>25</v>
      </c>
      <c r="G120" s="0" t="s">
        <v>725</v>
      </c>
      <c r="H120" s="0" t="e">
        <f aca="false">#N/A</f>
        <v>#N/A</v>
      </c>
      <c r="I120" s="0" t="e">
        <f aca="false">#N/A</f>
        <v>#N/A</v>
      </c>
      <c r="J120" s="0" t="e">
        <f aca="false">#N/A</f>
        <v>#N/A</v>
      </c>
      <c r="K120" s="0" t="e">
        <f aca="false">#N/A</f>
        <v>#N/A</v>
      </c>
      <c r="L120" s="0" t="e">
        <f aca="false">#N/A</f>
        <v>#N/A</v>
      </c>
      <c r="M120" s="0" t="s">
        <v>26</v>
      </c>
      <c r="N120" s="0" t="s">
        <v>26</v>
      </c>
      <c r="O120" s="0" t="s">
        <v>26</v>
      </c>
      <c r="P120" s="0" t="s">
        <v>26</v>
      </c>
      <c r="Q120" s="1" t="b">
        <f aca="false">FALSE()</f>
        <v>0</v>
      </c>
      <c r="R120" s="0" t="e">
        <f aca="false">#N/A</f>
        <v>#N/A</v>
      </c>
      <c r="S120" s="0" t="e">
        <f aca="false">#N/A</f>
        <v>#N/A</v>
      </c>
      <c r="T120" s="2" t="s">
        <v>727</v>
      </c>
    </row>
    <row r="121" customFormat="false" ht="15.85" hidden="false" customHeight="true" outlineLevel="0" collapsed="false">
      <c r="A121" s="0" t="s">
        <v>728</v>
      </c>
      <c r="B121" s="0" t="e">
        <f aca="false">#N/A</f>
        <v>#N/A</v>
      </c>
      <c r="C121" s="0" t="s">
        <v>729</v>
      </c>
      <c r="D121" s="0" t="s">
        <v>730</v>
      </c>
      <c r="E121" s="0" t="e">
        <f aca="false">#N/A</f>
        <v>#N/A</v>
      </c>
      <c r="F121" s="0" t="s">
        <v>25</v>
      </c>
      <c r="G121" s="0" t="s">
        <v>729</v>
      </c>
      <c r="H121" s="0" t="e">
        <f aca="false">#N/A</f>
        <v>#N/A</v>
      </c>
      <c r="I121" s="0" t="e">
        <f aca="false">#N/A</f>
        <v>#N/A</v>
      </c>
      <c r="J121" s="0" t="e">
        <f aca="false">#N/A</f>
        <v>#N/A</v>
      </c>
      <c r="K121" s="0" t="e">
        <f aca="false">#N/A</f>
        <v>#N/A</v>
      </c>
      <c r="L121" s="0" t="e">
        <f aca="false">#N/A</f>
        <v>#N/A</v>
      </c>
      <c r="M121" s="0" t="s">
        <v>26</v>
      </c>
      <c r="N121" s="0" t="s">
        <v>26</v>
      </c>
      <c r="O121" s="0" t="s">
        <v>26</v>
      </c>
      <c r="P121" s="0" t="s">
        <v>26</v>
      </c>
      <c r="Q121" s="1" t="b">
        <f aca="false">FALSE()</f>
        <v>0</v>
      </c>
      <c r="R121" s="0" t="e">
        <f aca="false">#N/A</f>
        <v>#N/A</v>
      </c>
      <c r="S121" s="0" t="e">
        <f aca="false">#N/A</f>
        <v>#N/A</v>
      </c>
      <c r="T121" s="2" t="s">
        <v>731</v>
      </c>
    </row>
    <row r="122" customFormat="false" ht="15.85" hidden="false" customHeight="true" outlineLevel="0" collapsed="false">
      <c r="A122" s="0" t="s">
        <v>732</v>
      </c>
      <c r="B122" s="0" t="e">
        <f aca="false">#N/A</f>
        <v>#N/A</v>
      </c>
      <c r="C122" s="0" t="s">
        <v>733</v>
      </c>
      <c r="D122" s="0" t="s">
        <v>734</v>
      </c>
      <c r="E122" s="0" t="e">
        <f aca="false">#N/A</f>
        <v>#N/A</v>
      </c>
      <c r="F122" s="0" t="s">
        <v>25</v>
      </c>
      <c r="G122" s="0" t="s">
        <v>733</v>
      </c>
      <c r="H122" s="0" t="e">
        <f aca="false">#N/A</f>
        <v>#N/A</v>
      </c>
      <c r="I122" s="0" t="e">
        <f aca="false">#N/A</f>
        <v>#N/A</v>
      </c>
      <c r="J122" s="0" t="e">
        <f aca="false">#N/A</f>
        <v>#N/A</v>
      </c>
      <c r="K122" s="0" t="e">
        <f aca="false">#N/A</f>
        <v>#N/A</v>
      </c>
      <c r="L122" s="0" t="e">
        <f aca="false">#N/A</f>
        <v>#N/A</v>
      </c>
      <c r="M122" s="0" t="s">
        <v>26</v>
      </c>
      <c r="N122" s="0" t="s">
        <v>26</v>
      </c>
      <c r="O122" s="0" t="s">
        <v>26</v>
      </c>
      <c r="P122" s="0" t="s">
        <v>26</v>
      </c>
      <c r="Q122" s="1" t="b">
        <f aca="false">FALSE()</f>
        <v>0</v>
      </c>
      <c r="R122" s="0" t="e">
        <f aca="false">#N/A</f>
        <v>#N/A</v>
      </c>
      <c r="S122" s="0" t="e">
        <f aca="false">#N/A</f>
        <v>#N/A</v>
      </c>
      <c r="T122" s="2" t="s">
        <v>735</v>
      </c>
    </row>
    <row r="123" customFormat="false" ht="15.85" hidden="false" customHeight="true" outlineLevel="0" collapsed="false">
      <c r="A123" s="0" t="s">
        <v>736</v>
      </c>
      <c r="B123" s="0" t="e">
        <f aca="false">#N/A</f>
        <v>#N/A</v>
      </c>
      <c r="C123" s="0" t="s">
        <v>737</v>
      </c>
      <c r="D123" s="0" t="s">
        <v>738</v>
      </c>
      <c r="E123" s="0" t="e">
        <f aca="false">#N/A</f>
        <v>#N/A</v>
      </c>
      <c r="F123" s="0" t="s">
        <v>25</v>
      </c>
      <c r="G123" s="0" t="s">
        <v>737</v>
      </c>
      <c r="H123" s="0" t="e">
        <f aca="false">#N/A</f>
        <v>#N/A</v>
      </c>
      <c r="I123" s="0" t="e">
        <f aca="false">#N/A</f>
        <v>#N/A</v>
      </c>
      <c r="J123" s="0" t="e">
        <f aca="false">#N/A</f>
        <v>#N/A</v>
      </c>
      <c r="K123" s="0" t="e">
        <f aca="false">#N/A</f>
        <v>#N/A</v>
      </c>
      <c r="L123" s="0" t="e">
        <f aca="false">#N/A</f>
        <v>#N/A</v>
      </c>
      <c r="M123" s="0" t="s">
        <v>26</v>
      </c>
      <c r="N123" s="0" t="s">
        <v>26</v>
      </c>
      <c r="O123" s="0" t="s">
        <v>26</v>
      </c>
      <c r="P123" s="0" t="s">
        <v>26</v>
      </c>
      <c r="Q123" s="1" t="b">
        <f aca="false">FALSE()</f>
        <v>0</v>
      </c>
      <c r="R123" s="0" t="e">
        <f aca="false">#N/A</f>
        <v>#N/A</v>
      </c>
      <c r="S123" s="0" t="e">
        <f aca="false">#N/A</f>
        <v>#N/A</v>
      </c>
      <c r="T123" s="2" t="s">
        <v>739</v>
      </c>
    </row>
    <row r="124" customFormat="false" ht="15.85" hidden="false" customHeight="true" outlineLevel="0" collapsed="false">
      <c r="A124" s="0" t="s">
        <v>740</v>
      </c>
      <c r="B124" s="0" t="e">
        <f aca="false">#N/A</f>
        <v>#N/A</v>
      </c>
      <c r="C124" s="0" t="s">
        <v>741</v>
      </c>
      <c r="D124" s="0" t="s">
        <v>742</v>
      </c>
      <c r="E124" s="0" t="e">
        <f aca="false">#N/A</f>
        <v>#N/A</v>
      </c>
      <c r="F124" s="0" t="s">
        <v>25</v>
      </c>
      <c r="G124" s="0" t="s">
        <v>741</v>
      </c>
      <c r="H124" s="0" t="e">
        <f aca="false">#N/A</f>
        <v>#N/A</v>
      </c>
      <c r="I124" s="0" t="e">
        <f aca="false">#N/A</f>
        <v>#N/A</v>
      </c>
      <c r="J124" s="0" t="e">
        <f aca="false">#N/A</f>
        <v>#N/A</v>
      </c>
      <c r="K124" s="0" t="e">
        <f aca="false">#N/A</f>
        <v>#N/A</v>
      </c>
      <c r="L124" s="0" t="e">
        <f aca="false">#N/A</f>
        <v>#N/A</v>
      </c>
      <c r="M124" s="0" t="s">
        <v>26</v>
      </c>
      <c r="N124" s="0" t="s">
        <v>26</v>
      </c>
      <c r="O124" s="0" t="s">
        <v>26</v>
      </c>
      <c r="P124" s="0" t="s">
        <v>26</v>
      </c>
      <c r="Q124" s="1" t="b">
        <f aca="false">FALSE()</f>
        <v>0</v>
      </c>
      <c r="R124" s="0" t="e">
        <f aca="false">#N/A</f>
        <v>#N/A</v>
      </c>
      <c r="S124" s="0" t="e">
        <f aca="false">#N/A</f>
        <v>#N/A</v>
      </c>
      <c r="T124" s="2" t="s">
        <v>743</v>
      </c>
    </row>
    <row r="125" customFormat="false" ht="15.85" hidden="false" customHeight="true" outlineLevel="0" collapsed="false">
      <c r="A125" s="0" t="s">
        <v>744</v>
      </c>
      <c r="B125" s="0" t="e">
        <f aca="false">#N/A</f>
        <v>#N/A</v>
      </c>
      <c r="C125" s="0" t="s">
        <v>745</v>
      </c>
      <c r="D125" s="0" t="s">
        <v>746</v>
      </c>
      <c r="E125" s="0" t="e">
        <f aca="false">#N/A</f>
        <v>#N/A</v>
      </c>
      <c r="F125" s="0" t="s">
        <v>25</v>
      </c>
      <c r="G125" s="0" t="s">
        <v>745</v>
      </c>
      <c r="H125" s="0" t="e">
        <f aca="false">#N/A</f>
        <v>#N/A</v>
      </c>
      <c r="I125" s="0" t="e">
        <f aca="false">#N/A</f>
        <v>#N/A</v>
      </c>
      <c r="J125" s="0" t="e">
        <f aca="false">#N/A</f>
        <v>#N/A</v>
      </c>
      <c r="K125" s="0" t="e">
        <f aca="false">#N/A</f>
        <v>#N/A</v>
      </c>
      <c r="L125" s="0" t="e">
        <f aca="false">#N/A</f>
        <v>#N/A</v>
      </c>
      <c r="M125" s="0" t="s">
        <v>26</v>
      </c>
      <c r="N125" s="0" t="s">
        <v>26</v>
      </c>
      <c r="O125" s="0" t="s">
        <v>26</v>
      </c>
      <c r="P125" s="0" t="s">
        <v>26</v>
      </c>
      <c r="Q125" s="1" t="b">
        <f aca="false">FALSE()</f>
        <v>0</v>
      </c>
      <c r="R125" s="0" t="e">
        <f aca="false">#N/A</f>
        <v>#N/A</v>
      </c>
      <c r="S125" s="0" t="e">
        <f aca="false">#N/A</f>
        <v>#N/A</v>
      </c>
      <c r="T125" s="2" t="s">
        <v>747</v>
      </c>
    </row>
    <row r="126" customFormat="false" ht="15.85" hidden="false" customHeight="true" outlineLevel="0" collapsed="false">
      <c r="A126" s="0" t="s">
        <v>748</v>
      </c>
      <c r="B126" s="0" t="e">
        <f aca="false">#N/A</f>
        <v>#N/A</v>
      </c>
      <c r="C126" s="0" t="s">
        <v>749</v>
      </c>
      <c r="D126" s="0" t="s">
        <v>750</v>
      </c>
      <c r="E126" s="0" t="e">
        <f aca="false">#N/A</f>
        <v>#N/A</v>
      </c>
      <c r="F126" s="0" t="s">
        <v>25</v>
      </c>
      <c r="G126" s="0" t="s">
        <v>749</v>
      </c>
      <c r="H126" s="0" t="e">
        <f aca="false">#N/A</f>
        <v>#N/A</v>
      </c>
      <c r="I126" s="0" t="e">
        <f aca="false">#N/A</f>
        <v>#N/A</v>
      </c>
      <c r="J126" s="0" t="e">
        <f aca="false">#N/A</f>
        <v>#N/A</v>
      </c>
      <c r="K126" s="0" t="e">
        <f aca="false">#N/A</f>
        <v>#N/A</v>
      </c>
      <c r="L126" s="0" t="e">
        <f aca="false">#N/A</f>
        <v>#N/A</v>
      </c>
      <c r="M126" s="0" t="s">
        <v>26</v>
      </c>
      <c r="N126" s="0" t="s">
        <v>26</v>
      </c>
      <c r="O126" s="0" t="s">
        <v>26</v>
      </c>
      <c r="P126" s="0" t="s">
        <v>26</v>
      </c>
      <c r="Q126" s="1" t="b">
        <f aca="false">FALSE()</f>
        <v>0</v>
      </c>
      <c r="R126" s="0" t="e">
        <f aca="false">#N/A</f>
        <v>#N/A</v>
      </c>
      <c r="S126" s="0" t="e">
        <f aca="false">#N/A</f>
        <v>#N/A</v>
      </c>
      <c r="T126" s="2" t="s">
        <v>751</v>
      </c>
    </row>
    <row r="127" customFormat="false" ht="15.85" hidden="false" customHeight="true" outlineLevel="0" collapsed="false">
      <c r="A127" s="0" t="s">
        <v>752</v>
      </c>
      <c r="B127" s="0" t="e">
        <f aca="false">#N/A</f>
        <v>#N/A</v>
      </c>
      <c r="C127" s="0" t="s">
        <v>753</v>
      </c>
      <c r="D127" s="0" t="s">
        <v>754</v>
      </c>
      <c r="E127" s="0" t="e">
        <f aca="false">#N/A</f>
        <v>#N/A</v>
      </c>
      <c r="F127" s="0" t="s">
        <v>25</v>
      </c>
      <c r="G127" s="0" t="s">
        <v>753</v>
      </c>
      <c r="H127" s="0" t="e">
        <f aca="false">#N/A</f>
        <v>#N/A</v>
      </c>
      <c r="I127" s="0" t="e">
        <f aca="false">#N/A</f>
        <v>#N/A</v>
      </c>
      <c r="J127" s="0" t="e">
        <f aca="false">#N/A</f>
        <v>#N/A</v>
      </c>
      <c r="K127" s="0" t="e">
        <f aca="false">#N/A</f>
        <v>#N/A</v>
      </c>
      <c r="L127" s="0" t="e">
        <f aca="false">#N/A</f>
        <v>#N/A</v>
      </c>
      <c r="M127" s="0" t="s">
        <v>26</v>
      </c>
      <c r="N127" s="0" t="s">
        <v>26</v>
      </c>
      <c r="O127" s="0" t="s">
        <v>26</v>
      </c>
      <c r="P127" s="0" t="s">
        <v>26</v>
      </c>
      <c r="Q127" s="1" t="b">
        <f aca="false">FALSE()</f>
        <v>0</v>
      </c>
      <c r="R127" s="0" t="e">
        <f aca="false">#N/A</f>
        <v>#N/A</v>
      </c>
      <c r="S127" s="0" t="e">
        <f aca="false">#N/A</f>
        <v>#N/A</v>
      </c>
      <c r="T127" s="2" t="s">
        <v>755</v>
      </c>
    </row>
    <row r="128" customFormat="false" ht="15.85" hidden="false" customHeight="true" outlineLevel="0" collapsed="false">
      <c r="A128" s="0" t="s">
        <v>756</v>
      </c>
      <c r="B128" s="0" t="e">
        <f aca="false">#N/A</f>
        <v>#N/A</v>
      </c>
      <c r="C128" s="0" t="s">
        <v>757</v>
      </c>
      <c r="D128" s="0" t="s">
        <v>758</v>
      </c>
      <c r="E128" s="0" t="e">
        <f aca="false">#N/A</f>
        <v>#N/A</v>
      </c>
      <c r="F128" s="0" t="s">
        <v>25</v>
      </c>
      <c r="G128" s="0" t="s">
        <v>757</v>
      </c>
      <c r="H128" s="0" t="e">
        <f aca="false">#N/A</f>
        <v>#N/A</v>
      </c>
      <c r="I128" s="0" t="e">
        <f aca="false">#N/A</f>
        <v>#N/A</v>
      </c>
      <c r="J128" s="0" t="e">
        <f aca="false">#N/A</f>
        <v>#N/A</v>
      </c>
      <c r="K128" s="0" t="e">
        <f aca="false">#N/A</f>
        <v>#N/A</v>
      </c>
      <c r="L128" s="0" t="e">
        <f aca="false">#N/A</f>
        <v>#N/A</v>
      </c>
      <c r="M128" s="0" t="s">
        <v>26</v>
      </c>
      <c r="N128" s="0" t="s">
        <v>26</v>
      </c>
      <c r="O128" s="0" t="s">
        <v>26</v>
      </c>
      <c r="P128" s="0" t="s">
        <v>26</v>
      </c>
      <c r="Q128" s="1" t="b">
        <f aca="false">FALSE()</f>
        <v>0</v>
      </c>
      <c r="R128" s="0" t="e">
        <f aca="false">#N/A</f>
        <v>#N/A</v>
      </c>
      <c r="S128" s="0" t="e">
        <f aca="false">#N/A</f>
        <v>#N/A</v>
      </c>
      <c r="T128" s="2" t="s">
        <v>759</v>
      </c>
    </row>
    <row r="129" customFormat="false" ht="15.85" hidden="false" customHeight="true" outlineLevel="0" collapsed="false">
      <c r="A129" s="0" t="s">
        <v>760</v>
      </c>
      <c r="B129" s="0" t="e">
        <f aca="false">#N/A</f>
        <v>#N/A</v>
      </c>
      <c r="C129" s="0" t="s">
        <v>761</v>
      </c>
      <c r="D129" s="0" t="s">
        <v>762</v>
      </c>
      <c r="E129" s="0" t="e">
        <f aca="false">#N/A</f>
        <v>#N/A</v>
      </c>
      <c r="F129" s="0" t="s">
        <v>25</v>
      </c>
      <c r="G129" s="0" t="s">
        <v>761</v>
      </c>
      <c r="H129" s="0" t="e">
        <f aca="false">#N/A</f>
        <v>#N/A</v>
      </c>
      <c r="I129" s="0" t="e">
        <f aca="false">#N/A</f>
        <v>#N/A</v>
      </c>
      <c r="J129" s="0" t="e">
        <f aca="false">#N/A</f>
        <v>#N/A</v>
      </c>
      <c r="K129" s="0" t="e">
        <f aca="false">#N/A</f>
        <v>#N/A</v>
      </c>
      <c r="L129" s="0" t="e">
        <f aca="false">#N/A</f>
        <v>#N/A</v>
      </c>
      <c r="M129" s="0" t="s">
        <v>26</v>
      </c>
      <c r="N129" s="0" t="s">
        <v>26</v>
      </c>
      <c r="O129" s="0" t="s">
        <v>26</v>
      </c>
      <c r="P129" s="0" t="s">
        <v>26</v>
      </c>
      <c r="Q129" s="1" t="b">
        <f aca="false">FALSE()</f>
        <v>0</v>
      </c>
      <c r="R129" s="0" t="e">
        <f aca="false">#N/A</f>
        <v>#N/A</v>
      </c>
      <c r="S129" s="0" t="e">
        <f aca="false">#N/A</f>
        <v>#N/A</v>
      </c>
      <c r="T129" s="2" t="s">
        <v>763</v>
      </c>
    </row>
    <row r="130" customFormat="false" ht="15.85" hidden="false" customHeight="true" outlineLevel="0" collapsed="false">
      <c r="A130" s="0" t="s">
        <v>764</v>
      </c>
      <c r="B130" s="0" t="e">
        <f aca="false">#N/A</f>
        <v>#N/A</v>
      </c>
      <c r="C130" s="2" t="s">
        <v>765</v>
      </c>
      <c r="D130" s="0" t="s">
        <v>766</v>
      </c>
      <c r="E130" s="0" t="e">
        <f aca="false">#N/A</f>
        <v>#N/A</v>
      </c>
      <c r="F130" s="0" t="s">
        <v>25</v>
      </c>
      <c r="G130" s="2" t="s">
        <v>765</v>
      </c>
      <c r="H130" s="0" t="e">
        <f aca="false">#N/A</f>
        <v>#N/A</v>
      </c>
      <c r="I130" s="0" t="e">
        <f aca="false">#N/A</f>
        <v>#N/A</v>
      </c>
      <c r="J130" s="0" t="e">
        <f aca="false">#N/A</f>
        <v>#N/A</v>
      </c>
      <c r="K130" s="0" t="e">
        <f aca="false">#N/A</f>
        <v>#N/A</v>
      </c>
      <c r="L130" s="0" t="e">
        <f aca="false">#N/A</f>
        <v>#N/A</v>
      </c>
      <c r="M130" s="0" t="s">
        <v>26</v>
      </c>
      <c r="N130" s="0" t="s">
        <v>26</v>
      </c>
      <c r="O130" s="0" t="s">
        <v>26</v>
      </c>
      <c r="P130" s="0" t="s">
        <v>26</v>
      </c>
      <c r="Q130" s="1" t="b">
        <f aca="false">FALSE()</f>
        <v>0</v>
      </c>
      <c r="R130" s="0" t="e">
        <f aca="false">#N/A</f>
        <v>#N/A</v>
      </c>
      <c r="S130" s="0" t="e">
        <f aca="false">#N/A</f>
        <v>#N/A</v>
      </c>
      <c r="T130" s="2" t="s">
        <v>767</v>
      </c>
    </row>
    <row r="131" customFormat="false" ht="15.85" hidden="false" customHeight="true" outlineLevel="0" collapsed="false">
      <c r="A131" s="0" t="s">
        <v>768</v>
      </c>
      <c r="B131" s="0" t="e">
        <f aca="false">#N/A</f>
        <v>#N/A</v>
      </c>
      <c r="C131" s="0" t="s">
        <v>769</v>
      </c>
      <c r="D131" s="0" t="s">
        <v>770</v>
      </c>
      <c r="E131" s="0" t="e">
        <f aca="false">#N/A</f>
        <v>#N/A</v>
      </c>
      <c r="F131" s="0" t="s">
        <v>25</v>
      </c>
      <c r="G131" s="0" t="s">
        <v>769</v>
      </c>
      <c r="H131" s="0" t="e">
        <f aca="false">#N/A</f>
        <v>#N/A</v>
      </c>
      <c r="I131" s="0" t="e">
        <f aca="false">#N/A</f>
        <v>#N/A</v>
      </c>
      <c r="J131" s="0" t="e">
        <f aca="false">#N/A</f>
        <v>#N/A</v>
      </c>
      <c r="K131" s="0" t="e">
        <f aca="false">#N/A</f>
        <v>#N/A</v>
      </c>
      <c r="L131" s="0" t="e">
        <f aca="false">#N/A</f>
        <v>#N/A</v>
      </c>
      <c r="M131" s="0" t="s">
        <v>26</v>
      </c>
      <c r="N131" s="0" t="s">
        <v>26</v>
      </c>
      <c r="O131" s="0" t="s">
        <v>26</v>
      </c>
      <c r="P131" s="0" t="s">
        <v>26</v>
      </c>
      <c r="Q131" s="1" t="b">
        <f aca="false">FALSE()</f>
        <v>0</v>
      </c>
      <c r="R131" s="0" t="e">
        <f aca="false">#N/A</f>
        <v>#N/A</v>
      </c>
      <c r="S131" s="0" t="e">
        <f aca="false">#N/A</f>
        <v>#N/A</v>
      </c>
      <c r="T131" s="2" t="s">
        <v>771</v>
      </c>
    </row>
    <row r="132" customFormat="false" ht="15.85" hidden="false" customHeight="true" outlineLevel="0" collapsed="false">
      <c r="A132" s="0" t="s">
        <v>772</v>
      </c>
      <c r="B132" s="0" t="e">
        <f aca="false">#N/A</f>
        <v>#N/A</v>
      </c>
      <c r="C132" s="0" t="s">
        <v>773</v>
      </c>
      <c r="D132" s="0" t="s">
        <v>774</v>
      </c>
      <c r="E132" s="0" t="e">
        <f aca="false">#N/A</f>
        <v>#N/A</v>
      </c>
      <c r="F132" s="0" t="s">
        <v>25</v>
      </c>
      <c r="G132" s="0" t="s">
        <v>773</v>
      </c>
      <c r="H132" s="0" t="e">
        <f aca="false">#N/A</f>
        <v>#N/A</v>
      </c>
      <c r="I132" s="0" t="e">
        <f aca="false">#N/A</f>
        <v>#N/A</v>
      </c>
      <c r="J132" s="0" t="e">
        <f aca="false">#N/A</f>
        <v>#N/A</v>
      </c>
      <c r="K132" s="0" t="e">
        <f aca="false">#N/A</f>
        <v>#N/A</v>
      </c>
      <c r="L132" s="0" t="e">
        <f aca="false">#N/A</f>
        <v>#N/A</v>
      </c>
      <c r="M132" s="0" t="s">
        <v>26</v>
      </c>
      <c r="N132" s="0" t="s">
        <v>26</v>
      </c>
      <c r="O132" s="0" t="s">
        <v>26</v>
      </c>
      <c r="P132" s="0" t="s">
        <v>26</v>
      </c>
      <c r="Q132" s="1" t="b">
        <f aca="false">FALSE()</f>
        <v>0</v>
      </c>
      <c r="R132" s="0" t="e">
        <f aca="false">#N/A</f>
        <v>#N/A</v>
      </c>
      <c r="S132" s="0" t="e">
        <f aca="false">#N/A</f>
        <v>#N/A</v>
      </c>
      <c r="T132" s="2" t="s">
        <v>775</v>
      </c>
    </row>
    <row r="133" customFormat="false" ht="15.85" hidden="false" customHeight="true" outlineLevel="0" collapsed="false">
      <c r="A133" s="0" t="s">
        <v>776</v>
      </c>
      <c r="B133" s="0" t="e">
        <f aca="false">#N/A</f>
        <v>#N/A</v>
      </c>
      <c r="C133" s="0" t="s">
        <v>777</v>
      </c>
      <c r="D133" s="0" t="s">
        <v>778</v>
      </c>
      <c r="E133" s="0" t="e">
        <f aca="false">#N/A</f>
        <v>#N/A</v>
      </c>
      <c r="F133" s="0" t="s">
        <v>25</v>
      </c>
      <c r="G133" s="0" t="s">
        <v>777</v>
      </c>
      <c r="H133" s="0" t="e">
        <f aca="false">#N/A</f>
        <v>#N/A</v>
      </c>
      <c r="I133" s="0" t="e">
        <f aca="false">#N/A</f>
        <v>#N/A</v>
      </c>
      <c r="J133" s="0" t="e">
        <f aca="false">#N/A</f>
        <v>#N/A</v>
      </c>
      <c r="K133" s="0" t="e">
        <f aca="false">#N/A</f>
        <v>#N/A</v>
      </c>
      <c r="L133" s="0" t="e">
        <f aca="false">#N/A</f>
        <v>#N/A</v>
      </c>
      <c r="M133" s="0" t="s">
        <v>26</v>
      </c>
      <c r="N133" s="0" t="s">
        <v>26</v>
      </c>
      <c r="O133" s="0" t="s">
        <v>26</v>
      </c>
      <c r="P133" s="0" t="s">
        <v>26</v>
      </c>
      <c r="Q133" s="1" t="b">
        <f aca="false">FALSE()</f>
        <v>0</v>
      </c>
      <c r="R133" s="0" t="e">
        <f aca="false">#N/A</f>
        <v>#N/A</v>
      </c>
      <c r="S133" s="0" t="e">
        <f aca="false">#N/A</f>
        <v>#N/A</v>
      </c>
      <c r="T133" s="2" t="s">
        <v>779</v>
      </c>
    </row>
    <row r="134" customFormat="false" ht="15.85" hidden="false" customHeight="true" outlineLevel="0" collapsed="false">
      <c r="A134" s="0" t="s">
        <v>780</v>
      </c>
      <c r="B134" s="0" t="e">
        <f aca="false">#N/A</f>
        <v>#N/A</v>
      </c>
      <c r="C134" s="0" t="s">
        <v>781</v>
      </c>
      <c r="D134" s="0" t="s">
        <v>782</v>
      </c>
      <c r="E134" s="0" t="e">
        <f aca="false">#N/A</f>
        <v>#N/A</v>
      </c>
      <c r="F134" s="0" t="s">
        <v>25</v>
      </c>
      <c r="G134" s="0" t="s">
        <v>781</v>
      </c>
      <c r="H134" s="0" t="e">
        <f aca="false">#N/A</f>
        <v>#N/A</v>
      </c>
      <c r="I134" s="0" t="e">
        <f aca="false">#N/A</f>
        <v>#N/A</v>
      </c>
      <c r="J134" s="0" t="e">
        <f aca="false">#N/A</f>
        <v>#N/A</v>
      </c>
      <c r="K134" s="0" t="e">
        <f aca="false">#N/A</f>
        <v>#N/A</v>
      </c>
      <c r="L134" s="0" t="e">
        <f aca="false">#N/A</f>
        <v>#N/A</v>
      </c>
      <c r="M134" s="0" t="s">
        <v>26</v>
      </c>
      <c r="N134" s="0" t="s">
        <v>26</v>
      </c>
      <c r="O134" s="0" t="s">
        <v>26</v>
      </c>
      <c r="P134" s="0" t="s">
        <v>26</v>
      </c>
      <c r="Q134" s="1" t="b">
        <f aca="false">FALSE()</f>
        <v>0</v>
      </c>
      <c r="R134" s="0" t="e">
        <f aca="false">#N/A</f>
        <v>#N/A</v>
      </c>
      <c r="S134" s="0" t="e">
        <f aca="false">#N/A</f>
        <v>#N/A</v>
      </c>
      <c r="T134" s="2" t="s">
        <v>783</v>
      </c>
    </row>
    <row r="135" customFormat="false" ht="15.85" hidden="false" customHeight="true" outlineLevel="0" collapsed="false">
      <c r="A135" s="0" t="s">
        <v>784</v>
      </c>
      <c r="B135" s="0" t="e">
        <f aca="false">#N/A</f>
        <v>#N/A</v>
      </c>
      <c r="C135" s="0" t="s">
        <v>785</v>
      </c>
      <c r="D135" s="0" t="s">
        <v>786</v>
      </c>
      <c r="E135" s="0" t="e">
        <f aca="false">#N/A</f>
        <v>#N/A</v>
      </c>
      <c r="F135" s="0" t="s">
        <v>25</v>
      </c>
      <c r="G135" s="0" t="s">
        <v>785</v>
      </c>
      <c r="H135" s="0" t="e">
        <f aca="false">#N/A</f>
        <v>#N/A</v>
      </c>
      <c r="I135" s="0" t="e">
        <f aca="false">#N/A</f>
        <v>#N/A</v>
      </c>
      <c r="J135" s="0" t="e">
        <f aca="false">#N/A</f>
        <v>#N/A</v>
      </c>
      <c r="K135" s="0" t="e">
        <f aca="false">#N/A</f>
        <v>#N/A</v>
      </c>
      <c r="L135" s="0" t="e">
        <f aca="false">#N/A</f>
        <v>#N/A</v>
      </c>
      <c r="M135" s="0" t="s">
        <v>26</v>
      </c>
      <c r="N135" s="0" t="s">
        <v>26</v>
      </c>
      <c r="O135" s="0" t="s">
        <v>26</v>
      </c>
      <c r="P135" s="0" t="s">
        <v>26</v>
      </c>
      <c r="Q135" s="1" t="b">
        <f aca="false">FALSE()</f>
        <v>0</v>
      </c>
      <c r="R135" s="0" t="e">
        <f aca="false">#N/A</f>
        <v>#N/A</v>
      </c>
      <c r="S135" s="0" t="e">
        <f aca="false">#N/A</f>
        <v>#N/A</v>
      </c>
      <c r="T135" s="2" t="s">
        <v>787</v>
      </c>
    </row>
    <row r="136" customFormat="false" ht="15.85" hidden="false" customHeight="true" outlineLevel="0" collapsed="false">
      <c r="A136" s="0" t="s">
        <v>788</v>
      </c>
      <c r="B136" s="0" t="e">
        <f aca="false">#N/A</f>
        <v>#N/A</v>
      </c>
      <c r="C136" s="0" t="s">
        <v>789</v>
      </c>
      <c r="D136" s="0" t="s">
        <v>790</v>
      </c>
      <c r="E136" s="0" t="e">
        <f aca="false">#N/A</f>
        <v>#N/A</v>
      </c>
      <c r="F136" s="0" t="s">
        <v>25</v>
      </c>
      <c r="G136" s="0" t="s">
        <v>789</v>
      </c>
      <c r="H136" s="0" t="e">
        <f aca="false">#N/A</f>
        <v>#N/A</v>
      </c>
      <c r="I136" s="0" t="e">
        <f aca="false">#N/A</f>
        <v>#N/A</v>
      </c>
      <c r="J136" s="0" t="e">
        <f aca="false">#N/A</f>
        <v>#N/A</v>
      </c>
      <c r="K136" s="0" t="e">
        <f aca="false">#N/A</f>
        <v>#N/A</v>
      </c>
      <c r="L136" s="0" t="e">
        <f aca="false">#N/A</f>
        <v>#N/A</v>
      </c>
      <c r="M136" s="0" t="s">
        <v>26</v>
      </c>
      <c r="N136" s="0" t="s">
        <v>26</v>
      </c>
      <c r="O136" s="0" t="s">
        <v>26</v>
      </c>
      <c r="P136" s="0" t="s">
        <v>26</v>
      </c>
      <c r="Q136" s="1" t="b">
        <f aca="false">FALSE()</f>
        <v>0</v>
      </c>
      <c r="R136" s="0" t="e">
        <f aca="false">#N/A</f>
        <v>#N/A</v>
      </c>
      <c r="S136" s="0" t="e">
        <f aca="false">#N/A</f>
        <v>#N/A</v>
      </c>
      <c r="T136" s="2" t="s">
        <v>791</v>
      </c>
    </row>
    <row r="137" customFormat="false" ht="15.85" hidden="false" customHeight="true" outlineLevel="0" collapsed="false">
      <c r="A137" s="0" t="s">
        <v>792</v>
      </c>
      <c r="B137" s="0" t="e">
        <f aca="false">#N/A</f>
        <v>#N/A</v>
      </c>
      <c r="C137" s="0" t="s">
        <v>793</v>
      </c>
      <c r="D137" s="0" t="s">
        <v>794</v>
      </c>
      <c r="E137" s="0" t="e">
        <f aca="false">#N/A</f>
        <v>#N/A</v>
      </c>
      <c r="F137" s="0" t="s">
        <v>25</v>
      </c>
      <c r="G137" s="0" t="s">
        <v>793</v>
      </c>
      <c r="H137" s="0" t="e">
        <f aca="false">#N/A</f>
        <v>#N/A</v>
      </c>
      <c r="I137" s="0" t="e">
        <f aca="false">#N/A</f>
        <v>#N/A</v>
      </c>
      <c r="J137" s="0" t="e">
        <f aca="false">#N/A</f>
        <v>#N/A</v>
      </c>
      <c r="K137" s="0" t="e">
        <f aca="false">#N/A</f>
        <v>#N/A</v>
      </c>
      <c r="L137" s="0" t="e">
        <f aca="false">#N/A</f>
        <v>#N/A</v>
      </c>
      <c r="M137" s="0" t="s">
        <v>26</v>
      </c>
      <c r="N137" s="0" t="s">
        <v>26</v>
      </c>
      <c r="O137" s="0" t="s">
        <v>26</v>
      </c>
      <c r="P137" s="0" t="s">
        <v>26</v>
      </c>
      <c r="Q137" s="1" t="b">
        <f aca="false">FALSE()</f>
        <v>0</v>
      </c>
      <c r="R137" s="0" t="e">
        <f aca="false">#N/A</f>
        <v>#N/A</v>
      </c>
      <c r="S137" s="0" t="e">
        <f aca="false">#N/A</f>
        <v>#N/A</v>
      </c>
      <c r="T137" s="2" t="s">
        <v>795</v>
      </c>
    </row>
    <row r="138" customFormat="false" ht="15.85" hidden="false" customHeight="true" outlineLevel="0" collapsed="false">
      <c r="A138" s="0" t="s">
        <v>796</v>
      </c>
      <c r="B138" s="0" t="e">
        <f aca="false">#N/A</f>
        <v>#N/A</v>
      </c>
      <c r="C138" s="0" t="s">
        <v>797</v>
      </c>
      <c r="D138" s="0" t="s">
        <v>798</v>
      </c>
      <c r="E138" s="0" t="e">
        <f aca="false">#N/A</f>
        <v>#N/A</v>
      </c>
      <c r="F138" s="0" t="s">
        <v>25</v>
      </c>
      <c r="G138" s="0" t="s">
        <v>797</v>
      </c>
      <c r="H138" s="0" t="e">
        <f aca="false">#N/A</f>
        <v>#N/A</v>
      </c>
      <c r="I138" s="0" t="e">
        <f aca="false">#N/A</f>
        <v>#N/A</v>
      </c>
      <c r="J138" s="0" t="e">
        <f aca="false">#N/A</f>
        <v>#N/A</v>
      </c>
      <c r="K138" s="0" t="e">
        <f aca="false">#N/A</f>
        <v>#N/A</v>
      </c>
      <c r="L138" s="0" t="e">
        <f aca="false">#N/A</f>
        <v>#N/A</v>
      </c>
      <c r="M138" s="0" t="s">
        <v>26</v>
      </c>
      <c r="N138" s="0" t="s">
        <v>26</v>
      </c>
      <c r="O138" s="0" t="s">
        <v>26</v>
      </c>
      <c r="P138" s="0" t="s">
        <v>26</v>
      </c>
      <c r="Q138" s="1" t="b">
        <f aca="false">FALSE()</f>
        <v>0</v>
      </c>
      <c r="R138" s="0" t="e">
        <f aca="false">#N/A</f>
        <v>#N/A</v>
      </c>
      <c r="S138" s="0" t="e">
        <f aca="false">#N/A</f>
        <v>#N/A</v>
      </c>
      <c r="T138" s="2" t="s">
        <v>799</v>
      </c>
    </row>
    <row r="139" customFormat="false" ht="15.85" hidden="false" customHeight="true" outlineLevel="0" collapsed="false">
      <c r="A139" s="0" t="s">
        <v>800</v>
      </c>
      <c r="B139" s="0" t="e">
        <f aca="false">#N/A</f>
        <v>#N/A</v>
      </c>
      <c r="C139" s="0" t="s">
        <v>801</v>
      </c>
      <c r="D139" s="0" t="s">
        <v>802</v>
      </c>
      <c r="E139" s="0" t="e">
        <f aca="false">#N/A</f>
        <v>#N/A</v>
      </c>
      <c r="F139" s="0" t="s">
        <v>25</v>
      </c>
      <c r="G139" s="0" t="s">
        <v>801</v>
      </c>
      <c r="H139" s="0" t="e">
        <f aca="false">#N/A</f>
        <v>#N/A</v>
      </c>
      <c r="I139" s="0" t="e">
        <f aca="false">#N/A</f>
        <v>#N/A</v>
      </c>
      <c r="J139" s="0" t="e">
        <f aca="false">#N/A</f>
        <v>#N/A</v>
      </c>
      <c r="K139" s="0" t="e">
        <f aca="false">#N/A</f>
        <v>#N/A</v>
      </c>
      <c r="L139" s="0" t="e">
        <f aca="false">#N/A</f>
        <v>#N/A</v>
      </c>
      <c r="M139" s="0" t="s">
        <v>26</v>
      </c>
      <c r="N139" s="0" t="s">
        <v>26</v>
      </c>
      <c r="O139" s="0" t="s">
        <v>26</v>
      </c>
      <c r="P139" s="0" t="s">
        <v>26</v>
      </c>
      <c r="Q139" s="1" t="b">
        <f aca="false">FALSE()</f>
        <v>0</v>
      </c>
      <c r="R139" s="0" t="e">
        <f aca="false">#N/A</f>
        <v>#N/A</v>
      </c>
      <c r="S139" s="0" t="e">
        <f aca="false">#N/A</f>
        <v>#N/A</v>
      </c>
      <c r="T139" s="2" t="s">
        <v>803</v>
      </c>
    </row>
    <row r="140" customFormat="false" ht="15.85" hidden="false" customHeight="true" outlineLevel="0" collapsed="false">
      <c r="A140" s="0" t="s">
        <v>804</v>
      </c>
      <c r="B140" s="0" t="e">
        <f aca="false">#N/A</f>
        <v>#N/A</v>
      </c>
      <c r="C140" s="0" t="s">
        <v>805</v>
      </c>
      <c r="D140" s="0" t="s">
        <v>806</v>
      </c>
      <c r="E140" s="0" t="e">
        <f aca="false">#N/A</f>
        <v>#N/A</v>
      </c>
      <c r="F140" s="0" t="s">
        <v>25</v>
      </c>
      <c r="G140" s="0" t="s">
        <v>805</v>
      </c>
      <c r="H140" s="0" t="e">
        <f aca="false">#N/A</f>
        <v>#N/A</v>
      </c>
      <c r="I140" s="0" t="e">
        <f aca="false">#N/A</f>
        <v>#N/A</v>
      </c>
      <c r="J140" s="0" t="e">
        <f aca="false">#N/A</f>
        <v>#N/A</v>
      </c>
      <c r="K140" s="0" t="e">
        <f aca="false">#N/A</f>
        <v>#N/A</v>
      </c>
      <c r="L140" s="0" t="e">
        <f aca="false">#N/A</f>
        <v>#N/A</v>
      </c>
      <c r="M140" s="0" t="s">
        <v>26</v>
      </c>
      <c r="N140" s="0" t="s">
        <v>26</v>
      </c>
      <c r="O140" s="0" t="s">
        <v>26</v>
      </c>
      <c r="P140" s="0" t="s">
        <v>26</v>
      </c>
      <c r="Q140" s="1" t="b">
        <f aca="false">FALSE()</f>
        <v>0</v>
      </c>
      <c r="R140" s="0" t="e">
        <f aca="false">#N/A</f>
        <v>#N/A</v>
      </c>
      <c r="S140" s="0" t="e">
        <f aca="false">#N/A</f>
        <v>#N/A</v>
      </c>
      <c r="T140" s="2" t="s">
        <v>807</v>
      </c>
    </row>
    <row r="141" customFormat="false" ht="15.85" hidden="false" customHeight="true" outlineLevel="0" collapsed="false">
      <c r="A141" s="0" t="s">
        <v>808</v>
      </c>
      <c r="B141" s="0" t="e">
        <f aca="false">#N/A</f>
        <v>#N/A</v>
      </c>
      <c r="C141" s="0" t="s">
        <v>809</v>
      </c>
      <c r="D141" s="0" t="s">
        <v>810</v>
      </c>
      <c r="E141" s="0" t="e">
        <f aca="false">#N/A</f>
        <v>#N/A</v>
      </c>
      <c r="F141" s="0" t="s">
        <v>25</v>
      </c>
      <c r="G141" s="0" t="s">
        <v>809</v>
      </c>
      <c r="H141" s="0" t="e">
        <f aca="false">#N/A</f>
        <v>#N/A</v>
      </c>
      <c r="I141" s="0" t="e">
        <f aca="false">#N/A</f>
        <v>#N/A</v>
      </c>
      <c r="J141" s="0" t="e">
        <f aca="false">#N/A</f>
        <v>#N/A</v>
      </c>
      <c r="K141" s="0" t="e">
        <f aca="false">#N/A</f>
        <v>#N/A</v>
      </c>
      <c r="L141" s="0" t="e">
        <f aca="false">#N/A</f>
        <v>#N/A</v>
      </c>
      <c r="M141" s="0" t="s">
        <v>26</v>
      </c>
      <c r="N141" s="0" t="s">
        <v>26</v>
      </c>
      <c r="O141" s="0" t="s">
        <v>26</v>
      </c>
      <c r="P141" s="0" t="s">
        <v>26</v>
      </c>
      <c r="Q141" s="1" t="b">
        <f aca="false">FALSE()</f>
        <v>0</v>
      </c>
      <c r="R141" s="0" t="e">
        <f aca="false">#N/A</f>
        <v>#N/A</v>
      </c>
      <c r="S141" s="0" t="e">
        <f aca="false">#N/A</f>
        <v>#N/A</v>
      </c>
      <c r="T141" s="2" t="s">
        <v>811</v>
      </c>
    </row>
    <row r="142" customFormat="false" ht="15.85" hidden="false" customHeight="true" outlineLevel="0" collapsed="false">
      <c r="A142" s="0" t="s">
        <v>812</v>
      </c>
      <c r="B142" s="0" t="e">
        <f aca="false">#N/A</f>
        <v>#N/A</v>
      </c>
      <c r="C142" s="0" t="s">
        <v>813</v>
      </c>
      <c r="D142" s="0" t="s">
        <v>814</v>
      </c>
      <c r="E142" s="0" t="e">
        <f aca="false">#N/A</f>
        <v>#N/A</v>
      </c>
      <c r="F142" s="0" t="s">
        <v>25</v>
      </c>
      <c r="G142" s="0" t="s">
        <v>813</v>
      </c>
      <c r="H142" s="0" t="e">
        <f aca="false">#N/A</f>
        <v>#N/A</v>
      </c>
      <c r="I142" s="0" t="e">
        <f aca="false">#N/A</f>
        <v>#N/A</v>
      </c>
      <c r="J142" s="0" t="e">
        <f aca="false">#N/A</f>
        <v>#N/A</v>
      </c>
      <c r="K142" s="0" t="e">
        <f aca="false">#N/A</f>
        <v>#N/A</v>
      </c>
      <c r="L142" s="0" t="e">
        <f aca="false">#N/A</f>
        <v>#N/A</v>
      </c>
      <c r="M142" s="0" t="s">
        <v>26</v>
      </c>
      <c r="N142" s="0" t="s">
        <v>26</v>
      </c>
      <c r="O142" s="0" t="s">
        <v>26</v>
      </c>
      <c r="P142" s="0" t="s">
        <v>26</v>
      </c>
      <c r="Q142" s="1" t="b">
        <f aca="false">FALSE()</f>
        <v>0</v>
      </c>
      <c r="R142" s="0" t="e">
        <f aca="false">#N/A</f>
        <v>#N/A</v>
      </c>
      <c r="S142" s="0" t="e">
        <f aca="false">#N/A</f>
        <v>#N/A</v>
      </c>
      <c r="T142" s="2" t="s">
        <v>815</v>
      </c>
    </row>
    <row r="143" customFormat="false" ht="15.85" hidden="false" customHeight="true" outlineLevel="0" collapsed="false">
      <c r="A143" s="0" t="s">
        <v>816</v>
      </c>
      <c r="B143" s="0" t="e">
        <f aca="false">#N/A</f>
        <v>#N/A</v>
      </c>
      <c r="C143" s="0" t="s">
        <v>817</v>
      </c>
      <c r="D143" s="0" t="s">
        <v>818</v>
      </c>
      <c r="E143" s="0" t="e">
        <f aca="false">#N/A</f>
        <v>#N/A</v>
      </c>
      <c r="F143" s="0" t="s">
        <v>25</v>
      </c>
      <c r="G143" s="0" t="s">
        <v>817</v>
      </c>
      <c r="H143" s="0" t="e">
        <f aca="false">#N/A</f>
        <v>#N/A</v>
      </c>
      <c r="I143" s="0" t="e">
        <f aca="false">#N/A</f>
        <v>#N/A</v>
      </c>
      <c r="J143" s="0" t="e">
        <f aca="false">#N/A</f>
        <v>#N/A</v>
      </c>
      <c r="K143" s="0" t="e">
        <f aca="false">#N/A</f>
        <v>#N/A</v>
      </c>
      <c r="L143" s="0" t="e">
        <f aca="false">#N/A</f>
        <v>#N/A</v>
      </c>
      <c r="M143" s="0" t="s">
        <v>26</v>
      </c>
      <c r="N143" s="0" t="s">
        <v>26</v>
      </c>
      <c r="O143" s="0" t="s">
        <v>26</v>
      </c>
      <c r="P143" s="0" t="s">
        <v>26</v>
      </c>
      <c r="Q143" s="1" t="b">
        <f aca="false">FALSE()</f>
        <v>0</v>
      </c>
      <c r="R143" s="0" t="e">
        <f aca="false">#N/A</f>
        <v>#N/A</v>
      </c>
      <c r="S143" s="0" t="e">
        <f aca="false">#N/A</f>
        <v>#N/A</v>
      </c>
      <c r="T143" s="2" t="s">
        <v>819</v>
      </c>
    </row>
    <row r="144" customFormat="false" ht="15.85" hidden="false" customHeight="true" outlineLevel="0" collapsed="false">
      <c r="A144" s="0" t="s">
        <v>820</v>
      </c>
      <c r="B144" s="0" t="e">
        <f aca="false">#N/A</f>
        <v>#N/A</v>
      </c>
      <c r="C144" s="0" t="s">
        <v>821</v>
      </c>
      <c r="D144" s="0" t="s">
        <v>822</v>
      </c>
      <c r="E144" s="0" t="e">
        <f aca="false">#N/A</f>
        <v>#N/A</v>
      </c>
      <c r="F144" s="0" t="s">
        <v>25</v>
      </c>
      <c r="G144" s="0" t="s">
        <v>821</v>
      </c>
      <c r="H144" s="0" t="e">
        <f aca="false">#N/A</f>
        <v>#N/A</v>
      </c>
      <c r="I144" s="0" t="e">
        <f aca="false">#N/A</f>
        <v>#N/A</v>
      </c>
      <c r="J144" s="0" t="e">
        <f aca="false">#N/A</f>
        <v>#N/A</v>
      </c>
      <c r="K144" s="0" t="e">
        <f aca="false">#N/A</f>
        <v>#N/A</v>
      </c>
      <c r="L144" s="0" t="e">
        <f aca="false">#N/A</f>
        <v>#N/A</v>
      </c>
      <c r="M144" s="0" t="s">
        <v>26</v>
      </c>
      <c r="N144" s="0" t="s">
        <v>26</v>
      </c>
      <c r="O144" s="0" t="s">
        <v>26</v>
      </c>
      <c r="P144" s="0" t="s">
        <v>26</v>
      </c>
      <c r="Q144" s="1" t="b">
        <f aca="false">FALSE()</f>
        <v>0</v>
      </c>
      <c r="R144" s="0" t="e">
        <f aca="false">#N/A</f>
        <v>#N/A</v>
      </c>
      <c r="S144" s="0" t="e">
        <f aca="false">#N/A</f>
        <v>#N/A</v>
      </c>
      <c r="T144" s="2" t="s">
        <v>823</v>
      </c>
    </row>
    <row r="145" customFormat="false" ht="15.85" hidden="false" customHeight="true" outlineLevel="0" collapsed="false">
      <c r="A145" s="0" t="s">
        <v>824</v>
      </c>
      <c r="B145" s="0" t="e">
        <f aca="false">#N/A</f>
        <v>#N/A</v>
      </c>
      <c r="C145" s="0" t="s">
        <v>825</v>
      </c>
      <c r="D145" s="0" t="s">
        <v>826</v>
      </c>
      <c r="E145" s="0" t="e">
        <f aca="false">#N/A</f>
        <v>#N/A</v>
      </c>
      <c r="F145" s="0" t="s">
        <v>25</v>
      </c>
      <c r="G145" s="0" t="s">
        <v>825</v>
      </c>
      <c r="H145" s="0" t="e">
        <f aca="false">#N/A</f>
        <v>#N/A</v>
      </c>
      <c r="I145" s="0" t="e">
        <f aca="false">#N/A</f>
        <v>#N/A</v>
      </c>
      <c r="J145" s="0" t="e">
        <f aca="false">#N/A</f>
        <v>#N/A</v>
      </c>
      <c r="K145" s="0" t="e">
        <f aca="false">#N/A</f>
        <v>#N/A</v>
      </c>
      <c r="L145" s="0" t="e">
        <f aca="false">#N/A</f>
        <v>#N/A</v>
      </c>
      <c r="M145" s="0" t="s">
        <v>26</v>
      </c>
      <c r="N145" s="0" t="s">
        <v>26</v>
      </c>
      <c r="O145" s="0" t="s">
        <v>26</v>
      </c>
      <c r="P145" s="0" t="s">
        <v>26</v>
      </c>
      <c r="Q145" s="1" t="b">
        <f aca="false">FALSE()</f>
        <v>0</v>
      </c>
      <c r="R145" s="0" t="e">
        <f aca="false">#N/A</f>
        <v>#N/A</v>
      </c>
      <c r="S145" s="0" t="e">
        <f aca="false">#N/A</f>
        <v>#N/A</v>
      </c>
      <c r="T145" s="2" t="s">
        <v>827</v>
      </c>
    </row>
    <row r="146" customFormat="false" ht="15.85" hidden="false" customHeight="true" outlineLevel="0" collapsed="false">
      <c r="A146" s="0" t="s">
        <v>828</v>
      </c>
      <c r="B146" s="0" t="e">
        <f aca="false">#N/A</f>
        <v>#N/A</v>
      </c>
      <c r="C146" s="0" t="s">
        <v>829</v>
      </c>
      <c r="D146" s="0" t="s">
        <v>830</v>
      </c>
      <c r="E146" s="0" t="e">
        <f aca="false">#N/A</f>
        <v>#N/A</v>
      </c>
      <c r="F146" s="0" t="s">
        <v>25</v>
      </c>
      <c r="G146" s="0" t="s">
        <v>829</v>
      </c>
      <c r="H146" s="0" t="e">
        <f aca="false">#N/A</f>
        <v>#N/A</v>
      </c>
      <c r="I146" s="0" t="e">
        <f aca="false">#N/A</f>
        <v>#N/A</v>
      </c>
      <c r="J146" s="0" t="e">
        <f aca="false">#N/A</f>
        <v>#N/A</v>
      </c>
      <c r="K146" s="0" t="e">
        <f aca="false">#N/A</f>
        <v>#N/A</v>
      </c>
      <c r="L146" s="0" t="e">
        <f aca="false">#N/A</f>
        <v>#N/A</v>
      </c>
      <c r="M146" s="0" t="s">
        <v>26</v>
      </c>
      <c r="N146" s="0" t="s">
        <v>26</v>
      </c>
      <c r="O146" s="0" t="s">
        <v>26</v>
      </c>
      <c r="P146" s="0" t="s">
        <v>26</v>
      </c>
      <c r="Q146" s="1" t="b">
        <f aca="false">FALSE()</f>
        <v>0</v>
      </c>
      <c r="R146" s="0" t="e">
        <f aca="false">#N/A</f>
        <v>#N/A</v>
      </c>
      <c r="S146" s="0" t="e">
        <f aca="false">#N/A</f>
        <v>#N/A</v>
      </c>
      <c r="T146" s="2" t="s">
        <v>831</v>
      </c>
    </row>
    <row r="147" customFormat="false" ht="15.85" hidden="false" customHeight="true" outlineLevel="0" collapsed="false">
      <c r="A147" s="0" t="s">
        <v>832</v>
      </c>
      <c r="B147" s="0" t="e">
        <f aca="false">#N/A</f>
        <v>#N/A</v>
      </c>
      <c r="C147" s="0" t="s">
        <v>833</v>
      </c>
      <c r="D147" s="0" t="s">
        <v>834</v>
      </c>
      <c r="E147" s="0" t="e">
        <f aca="false">#N/A</f>
        <v>#N/A</v>
      </c>
      <c r="F147" s="0" t="s">
        <v>25</v>
      </c>
      <c r="G147" s="0" t="s">
        <v>833</v>
      </c>
      <c r="H147" s="0" t="e">
        <f aca="false">#N/A</f>
        <v>#N/A</v>
      </c>
      <c r="I147" s="0" t="e">
        <f aca="false">#N/A</f>
        <v>#N/A</v>
      </c>
      <c r="J147" s="0" t="e">
        <f aca="false">#N/A</f>
        <v>#N/A</v>
      </c>
      <c r="K147" s="0" t="e">
        <f aca="false">#N/A</f>
        <v>#N/A</v>
      </c>
      <c r="L147" s="0" t="e">
        <f aca="false">#N/A</f>
        <v>#N/A</v>
      </c>
      <c r="M147" s="0" t="s">
        <v>26</v>
      </c>
      <c r="N147" s="0" t="s">
        <v>26</v>
      </c>
      <c r="O147" s="0" t="s">
        <v>26</v>
      </c>
      <c r="P147" s="0" t="s">
        <v>26</v>
      </c>
      <c r="Q147" s="1" t="b">
        <f aca="false">FALSE()</f>
        <v>0</v>
      </c>
      <c r="R147" s="0" t="e">
        <f aca="false">#N/A</f>
        <v>#N/A</v>
      </c>
      <c r="S147" s="0" t="e">
        <f aca="false">#N/A</f>
        <v>#N/A</v>
      </c>
      <c r="T147" s="2" t="s">
        <v>835</v>
      </c>
    </row>
    <row r="148" customFormat="false" ht="15.85" hidden="false" customHeight="true" outlineLevel="0" collapsed="false">
      <c r="A148" s="0" t="s">
        <v>836</v>
      </c>
      <c r="B148" s="0" t="e">
        <f aca="false">#N/A</f>
        <v>#N/A</v>
      </c>
      <c r="C148" s="0" t="s">
        <v>837</v>
      </c>
      <c r="D148" s="0" t="s">
        <v>838</v>
      </c>
      <c r="E148" s="0" t="e">
        <f aca="false">#N/A</f>
        <v>#N/A</v>
      </c>
      <c r="F148" s="0" t="s">
        <v>25</v>
      </c>
      <c r="G148" s="0" t="s">
        <v>837</v>
      </c>
      <c r="H148" s="0" t="e">
        <f aca="false">#N/A</f>
        <v>#N/A</v>
      </c>
      <c r="I148" s="0" t="e">
        <f aca="false">#N/A</f>
        <v>#N/A</v>
      </c>
      <c r="J148" s="0" t="e">
        <f aca="false">#N/A</f>
        <v>#N/A</v>
      </c>
      <c r="K148" s="0" t="e">
        <f aca="false">#N/A</f>
        <v>#N/A</v>
      </c>
      <c r="L148" s="0" t="e">
        <f aca="false">#N/A</f>
        <v>#N/A</v>
      </c>
      <c r="M148" s="0" t="s">
        <v>26</v>
      </c>
      <c r="N148" s="0" t="s">
        <v>26</v>
      </c>
      <c r="O148" s="0" t="s">
        <v>26</v>
      </c>
      <c r="P148" s="0" t="s">
        <v>26</v>
      </c>
      <c r="Q148" s="1" t="b">
        <f aca="false">FALSE()</f>
        <v>0</v>
      </c>
      <c r="R148" s="0" t="e">
        <f aca="false">#N/A</f>
        <v>#N/A</v>
      </c>
      <c r="S148" s="0" t="e">
        <f aca="false">#N/A</f>
        <v>#N/A</v>
      </c>
      <c r="T148" s="2" t="s">
        <v>839</v>
      </c>
    </row>
    <row r="149" customFormat="false" ht="15.85" hidden="false" customHeight="true" outlineLevel="0" collapsed="false">
      <c r="A149" s="0" t="s">
        <v>840</v>
      </c>
      <c r="B149" s="0" t="e">
        <f aca="false">#N/A</f>
        <v>#N/A</v>
      </c>
      <c r="C149" s="0" t="s">
        <v>841</v>
      </c>
      <c r="D149" s="0" t="s">
        <v>842</v>
      </c>
      <c r="E149" s="0" t="e">
        <f aca="false">#N/A</f>
        <v>#N/A</v>
      </c>
      <c r="F149" s="0" t="s">
        <v>25</v>
      </c>
      <c r="G149" s="0" t="s">
        <v>841</v>
      </c>
      <c r="H149" s="0" t="e">
        <f aca="false">#N/A</f>
        <v>#N/A</v>
      </c>
      <c r="I149" s="0" t="e">
        <f aca="false">#N/A</f>
        <v>#N/A</v>
      </c>
      <c r="J149" s="0" t="e">
        <f aca="false">#N/A</f>
        <v>#N/A</v>
      </c>
      <c r="K149" s="0" t="e">
        <f aca="false">#N/A</f>
        <v>#N/A</v>
      </c>
      <c r="L149" s="0" t="e">
        <f aca="false">#N/A</f>
        <v>#N/A</v>
      </c>
      <c r="M149" s="0" t="s">
        <v>26</v>
      </c>
      <c r="N149" s="0" t="s">
        <v>26</v>
      </c>
      <c r="O149" s="0" t="s">
        <v>26</v>
      </c>
      <c r="P149" s="0" t="s">
        <v>26</v>
      </c>
      <c r="Q149" s="1" t="b">
        <f aca="false">FALSE()</f>
        <v>0</v>
      </c>
      <c r="R149" s="0" t="e">
        <f aca="false">#N/A</f>
        <v>#N/A</v>
      </c>
      <c r="S149" s="0" t="e">
        <f aca="false">#N/A</f>
        <v>#N/A</v>
      </c>
      <c r="T149" s="2" t="s">
        <v>843</v>
      </c>
    </row>
    <row r="150" customFormat="false" ht="15.85" hidden="false" customHeight="true" outlineLevel="0" collapsed="false">
      <c r="A150" s="0" t="s">
        <v>844</v>
      </c>
      <c r="B150" s="0" t="e">
        <f aca="false">#N/A</f>
        <v>#N/A</v>
      </c>
      <c r="C150" s="0" t="s">
        <v>845</v>
      </c>
      <c r="D150" s="0" t="s">
        <v>846</v>
      </c>
      <c r="E150" s="0" t="e">
        <f aca="false">#N/A</f>
        <v>#N/A</v>
      </c>
      <c r="F150" s="0" t="s">
        <v>25</v>
      </c>
      <c r="G150" s="0" t="s">
        <v>845</v>
      </c>
      <c r="H150" s="0" t="e">
        <f aca="false">#N/A</f>
        <v>#N/A</v>
      </c>
      <c r="I150" s="0" t="e">
        <f aca="false">#N/A</f>
        <v>#N/A</v>
      </c>
      <c r="J150" s="0" t="e">
        <f aca="false">#N/A</f>
        <v>#N/A</v>
      </c>
      <c r="K150" s="0" t="e">
        <f aca="false">#N/A</f>
        <v>#N/A</v>
      </c>
      <c r="L150" s="0" t="e">
        <f aca="false">#N/A</f>
        <v>#N/A</v>
      </c>
      <c r="M150" s="0" t="s">
        <v>26</v>
      </c>
      <c r="N150" s="0" t="s">
        <v>26</v>
      </c>
      <c r="O150" s="0" t="s">
        <v>26</v>
      </c>
      <c r="P150" s="0" t="s">
        <v>26</v>
      </c>
      <c r="Q150" s="1" t="b">
        <f aca="false">FALSE()</f>
        <v>0</v>
      </c>
      <c r="R150" s="0" t="e">
        <f aca="false">#N/A</f>
        <v>#N/A</v>
      </c>
      <c r="S150" s="0" t="e">
        <f aca="false">#N/A</f>
        <v>#N/A</v>
      </c>
      <c r="T150" s="2" t="s">
        <v>847</v>
      </c>
    </row>
    <row r="151" customFormat="false" ht="15.85" hidden="false" customHeight="true" outlineLevel="0" collapsed="false">
      <c r="A151" s="0" t="s">
        <v>848</v>
      </c>
      <c r="B151" s="0" t="e">
        <f aca="false">#N/A</f>
        <v>#N/A</v>
      </c>
      <c r="C151" s="0" t="s">
        <v>849</v>
      </c>
      <c r="D151" s="0" t="s">
        <v>850</v>
      </c>
      <c r="E151" s="0" t="e">
        <f aca="false">#N/A</f>
        <v>#N/A</v>
      </c>
      <c r="F151" s="0" t="s">
        <v>25</v>
      </c>
      <c r="G151" s="0" t="s">
        <v>849</v>
      </c>
      <c r="H151" s="0" t="e">
        <f aca="false">#N/A</f>
        <v>#N/A</v>
      </c>
      <c r="I151" s="0" t="e">
        <f aca="false">#N/A</f>
        <v>#N/A</v>
      </c>
      <c r="J151" s="0" t="e">
        <f aca="false">#N/A</f>
        <v>#N/A</v>
      </c>
      <c r="K151" s="0" t="e">
        <f aca="false">#N/A</f>
        <v>#N/A</v>
      </c>
      <c r="L151" s="0" t="e">
        <f aca="false">#N/A</f>
        <v>#N/A</v>
      </c>
      <c r="M151" s="0" t="s">
        <v>26</v>
      </c>
      <c r="N151" s="0" t="s">
        <v>26</v>
      </c>
      <c r="O151" s="0" t="s">
        <v>26</v>
      </c>
      <c r="P151" s="0" t="s">
        <v>26</v>
      </c>
      <c r="Q151" s="1" t="b">
        <f aca="false">FALSE()</f>
        <v>0</v>
      </c>
      <c r="R151" s="0" t="e">
        <f aca="false">#N/A</f>
        <v>#N/A</v>
      </c>
      <c r="S151" s="0" t="e">
        <f aca="false">#N/A</f>
        <v>#N/A</v>
      </c>
      <c r="T151" s="2" t="s">
        <v>851</v>
      </c>
    </row>
    <row r="152" customFormat="false" ht="15.85" hidden="false" customHeight="true" outlineLevel="0" collapsed="false">
      <c r="A152" s="0" t="s">
        <v>852</v>
      </c>
      <c r="B152" s="0" t="e">
        <f aca="false">#N/A</f>
        <v>#N/A</v>
      </c>
      <c r="C152" s="0" t="s">
        <v>853</v>
      </c>
      <c r="D152" s="0" t="s">
        <v>854</v>
      </c>
      <c r="E152" s="0" t="e">
        <f aca="false">#N/A</f>
        <v>#N/A</v>
      </c>
      <c r="F152" s="0" t="s">
        <v>25</v>
      </c>
      <c r="G152" s="0" t="s">
        <v>853</v>
      </c>
      <c r="H152" s="0" t="e">
        <f aca="false">#N/A</f>
        <v>#N/A</v>
      </c>
      <c r="I152" s="0" t="e">
        <f aca="false">#N/A</f>
        <v>#N/A</v>
      </c>
      <c r="J152" s="0" t="e">
        <f aca="false">#N/A</f>
        <v>#N/A</v>
      </c>
      <c r="K152" s="0" t="e">
        <f aca="false">#N/A</f>
        <v>#N/A</v>
      </c>
      <c r="L152" s="0" t="e">
        <f aca="false">#N/A</f>
        <v>#N/A</v>
      </c>
      <c r="M152" s="0" t="s">
        <v>26</v>
      </c>
      <c r="N152" s="0" t="s">
        <v>26</v>
      </c>
      <c r="O152" s="0" t="s">
        <v>26</v>
      </c>
      <c r="P152" s="0" t="s">
        <v>26</v>
      </c>
      <c r="Q152" s="1" t="b">
        <f aca="false">FALSE()</f>
        <v>0</v>
      </c>
      <c r="R152" s="0" t="e">
        <f aca="false">#N/A</f>
        <v>#N/A</v>
      </c>
      <c r="S152" s="0" t="e">
        <f aca="false">#N/A</f>
        <v>#N/A</v>
      </c>
      <c r="T152" s="2" t="s">
        <v>855</v>
      </c>
    </row>
    <row r="153" customFormat="false" ht="15.85" hidden="false" customHeight="true" outlineLevel="0" collapsed="false">
      <c r="A153" s="0" t="s">
        <v>856</v>
      </c>
      <c r="B153" s="0" t="e">
        <f aca="false">#N/A</f>
        <v>#N/A</v>
      </c>
      <c r="C153" s="0" t="s">
        <v>857</v>
      </c>
      <c r="D153" s="0" t="s">
        <v>858</v>
      </c>
      <c r="E153" s="0" t="e">
        <f aca="false">#N/A</f>
        <v>#N/A</v>
      </c>
      <c r="F153" s="0" t="s">
        <v>25</v>
      </c>
      <c r="G153" s="0" t="s">
        <v>857</v>
      </c>
      <c r="H153" s="0" t="e">
        <f aca="false">#N/A</f>
        <v>#N/A</v>
      </c>
      <c r="I153" s="0" t="e">
        <f aca="false">#N/A</f>
        <v>#N/A</v>
      </c>
      <c r="J153" s="0" t="e">
        <f aca="false">#N/A</f>
        <v>#N/A</v>
      </c>
      <c r="K153" s="0" t="e">
        <f aca="false">#N/A</f>
        <v>#N/A</v>
      </c>
      <c r="L153" s="0" t="e">
        <f aca="false">#N/A</f>
        <v>#N/A</v>
      </c>
      <c r="M153" s="0" t="s">
        <v>26</v>
      </c>
      <c r="N153" s="0" t="s">
        <v>26</v>
      </c>
      <c r="O153" s="0" t="s">
        <v>26</v>
      </c>
      <c r="P153" s="0" t="s">
        <v>26</v>
      </c>
      <c r="Q153" s="1" t="b">
        <f aca="false">FALSE()</f>
        <v>0</v>
      </c>
      <c r="R153" s="0" t="e">
        <f aca="false">#N/A</f>
        <v>#N/A</v>
      </c>
      <c r="S153" s="0" t="e">
        <f aca="false">#N/A</f>
        <v>#N/A</v>
      </c>
      <c r="T153" s="2" t="s">
        <v>859</v>
      </c>
    </row>
    <row r="154" customFormat="false" ht="15.85" hidden="false" customHeight="true" outlineLevel="0" collapsed="false">
      <c r="A154" s="0" t="s">
        <v>860</v>
      </c>
      <c r="B154" s="0" t="e">
        <f aca="false">#N/A</f>
        <v>#N/A</v>
      </c>
      <c r="C154" s="0" t="s">
        <v>861</v>
      </c>
      <c r="D154" s="0" t="s">
        <v>862</v>
      </c>
      <c r="E154" s="0" t="e">
        <f aca="false">#N/A</f>
        <v>#N/A</v>
      </c>
      <c r="F154" s="0" t="s">
        <v>25</v>
      </c>
      <c r="G154" s="0" t="s">
        <v>861</v>
      </c>
      <c r="H154" s="0" t="e">
        <f aca="false">#N/A</f>
        <v>#N/A</v>
      </c>
      <c r="I154" s="0" t="e">
        <f aca="false">#N/A</f>
        <v>#N/A</v>
      </c>
      <c r="J154" s="0" t="e">
        <f aca="false">#N/A</f>
        <v>#N/A</v>
      </c>
      <c r="K154" s="0" t="e">
        <f aca="false">#N/A</f>
        <v>#N/A</v>
      </c>
      <c r="L154" s="0" t="e">
        <f aca="false">#N/A</f>
        <v>#N/A</v>
      </c>
      <c r="M154" s="0" t="s">
        <v>26</v>
      </c>
      <c r="N154" s="0" t="s">
        <v>26</v>
      </c>
      <c r="O154" s="0" t="s">
        <v>26</v>
      </c>
      <c r="P154" s="0" t="s">
        <v>26</v>
      </c>
      <c r="Q154" s="1" t="b">
        <f aca="false">FALSE()</f>
        <v>0</v>
      </c>
      <c r="R154" s="0" t="e">
        <f aca="false">#N/A</f>
        <v>#N/A</v>
      </c>
      <c r="S154" s="0" t="e">
        <f aca="false">#N/A</f>
        <v>#N/A</v>
      </c>
      <c r="T154" s="2" t="s">
        <v>863</v>
      </c>
    </row>
    <row r="155" customFormat="false" ht="15.85" hidden="false" customHeight="true" outlineLevel="0" collapsed="false">
      <c r="A155" s="0" t="s">
        <v>864</v>
      </c>
      <c r="B155" s="0" t="e">
        <f aca="false">#N/A</f>
        <v>#N/A</v>
      </c>
      <c r="C155" s="0" t="s">
        <v>865</v>
      </c>
      <c r="D155" s="0" t="s">
        <v>866</v>
      </c>
      <c r="E155" s="0" t="e">
        <f aca="false">#N/A</f>
        <v>#N/A</v>
      </c>
      <c r="F155" s="0" t="s">
        <v>25</v>
      </c>
      <c r="G155" s="0" t="s">
        <v>865</v>
      </c>
      <c r="H155" s="0" t="e">
        <f aca="false">#N/A</f>
        <v>#N/A</v>
      </c>
      <c r="I155" s="0" t="e">
        <f aca="false">#N/A</f>
        <v>#N/A</v>
      </c>
      <c r="J155" s="0" t="e">
        <f aca="false">#N/A</f>
        <v>#N/A</v>
      </c>
      <c r="K155" s="0" t="e">
        <f aca="false">#N/A</f>
        <v>#N/A</v>
      </c>
      <c r="L155" s="0" t="e">
        <f aca="false">#N/A</f>
        <v>#N/A</v>
      </c>
      <c r="M155" s="0" t="s">
        <v>26</v>
      </c>
      <c r="N155" s="0" t="s">
        <v>26</v>
      </c>
      <c r="O155" s="0" t="s">
        <v>26</v>
      </c>
      <c r="P155" s="0" t="s">
        <v>26</v>
      </c>
      <c r="Q155" s="1" t="b">
        <f aca="false">FALSE()</f>
        <v>0</v>
      </c>
      <c r="R155" s="0" t="e">
        <f aca="false">#N/A</f>
        <v>#N/A</v>
      </c>
      <c r="S155" s="0" t="e">
        <f aca="false">#N/A</f>
        <v>#N/A</v>
      </c>
      <c r="T155" s="2" t="s">
        <v>867</v>
      </c>
    </row>
    <row r="156" customFormat="false" ht="15.85" hidden="false" customHeight="true" outlineLevel="0" collapsed="false">
      <c r="A156" s="0" t="s">
        <v>868</v>
      </c>
      <c r="B156" s="0" t="e">
        <f aca="false">#N/A</f>
        <v>#N/A</v>
      </c>
      <c r="C156" s="0" t="s">
        <v>869</v>
      </c>
      <c r="D156" s="0" t="s">
        <v>870</v>
      </c>
      <c r="E156" s="0" t="e">
        <f aca="false">#N/A</f>
        <v>#N/A</v>
      </c>
      <c r="F156" s="0" t="s">
        <v>25</v>
      </c>
      <c r="G156" s="0" t="s">
        <v>869</v>
      </c>
      <c r="H156" s="0" t="e">
        <f aca="false">#N/A</f>
        <v>#N/A</v>
      </c>
      <c r="I156" s="0" t="e">
        <f aca="false">#N/A</f>
        <v>#N/A</v>
      </c>
      <c r="J156" s="0" t="e">
        <f aca="false">#N/A</f>
        <v>#N/A</v>
      </c>
      <c r="K156" s="0" t="e">
        <f aca="false">#N/A</f>
        <v>#N/A</v>
      </c>
      <c r="L156" s="0" t="e">
        <f aca="false">#N/A</f>
        <v>#N/A</v>
      </c>
      <c r="M156" s="0" t="s">
        <v>26</v>
      </c>
      <c r="N156" s="0" t="s">
        <v>26</v>
      </c>
      <c r="O156" s="0" t="s">
        <v>26</v>
      </c>
      <c r="P156" s="0" t="s">
        <v>26</v>
      </c>
      <c r="Q156" s="1" t="b">
        <f aca="false">FALSE()</f>
        <v>0</v>
      </c>
      <c r="R156" s="0" t="e">
        <f aca="false">#N/A</f>
        <v>#N/A</v>
      </c>
      <c r="S156" s="0" t="e">
        <f aca="false">#N/A</f>
        <v>#N/A</v>
      </c>
      <c r="T156" s="2" t="s">
        <v>871</v>
      </c>
    </row>
    <row r="157" customFormat="false" ht="15.85" hidden="false" customHeight="true" outlineLevel="0" collapsed="false">
      <c r="A157" s="0" t="s">
        <v>872</v>
      </c>
      <c r="B157" s="0" t="e">
        <f aca="false">#N/A</f>
        <v>#N/A</v>
      </c>
      <c r="C157" s="0" t="s">
        <v>873</v>
      </c>
      <c r="D157" s="0" t="s">
        <v>874</v>
      </c>
      <c r="E157" s="0" t="e">
        <f aca="false">#N/A</f>
        <v>#N/A</v>
      </c>
      <c r="F157" s="0" t="s">
        <v>25</v>
      </c>
      <c r="G157" s="0" t="s">
        <v>873</v>
      </c>
      <c r="H157" s="0" t="e">
        <f aca="false">#N/A</f>
        <v>#N/A</v>
      </c>
      <c r="I157" s="0" t="e">
        <f aca="false">#N/A</f>
        <v>#N/A</v>
      </c>
      <c r="J157" s="0" t="e">
        <f aca="false">#N/A</f>
        <v>#N/A</v>
      </c>
      <c r="K157" s="0" t="e">
        <f aca="false">#N/A</f>
        <v>#N/A</v>
      </c>
      <c r="L157" s="0" t="e">
        <f aca="false">#N/A</f>
        <v>#N/A</v>
      </c>
      <c r="M157" s="0" t="s">
        <v>26</v>
      </c>
      <c r="N157" s="0" t="s">
        <v>26</v>
      </c>
      <c r="O157" s="0" t="s">
        <v>26</v>
      </c>
      <c r="P157" s="0" t="s">
        <v>26</v>
      </c>
      <c r="Q157" s="1" t="b">
        <f aca="false">FALSE()</f>
        <v>0</v>
      </c>
      <c r="R157" s="0" t="e">
        <f aca="false">#N/A</f>
        <v>#N/A</v>
      </c>
      <c r="S157" s="0" t="e">
        <f aca="false">#N/A</f>
        <v>#N/A</v>
      </c>
      <c r="T157" s="2" t="s">
        <v>875</v>
      </c>
    </row>
    <row r="158" customFormat="false" ht="15.85" hidden="false" customHeight="true" outlineLevel="0" collapsed="false">
      <c r="A158" s="0" t="s">
        <v>876</v>
      </c>
      <c r="B158" s="0" t="e">
        <f aca="false">#N/A</f>
        <v>#N/A</v>
      </c>
      <c r="C158" s="0" t="s">
        <v>877</v>
      </c>
      <c r="D158" s="0" t="s">
        <v>878</v>
      </c>
      <c r="E158" s="0" t="e">
        <f aca="false">#N/A</f>
        <v>#N/A</v>
      </c>
      <c r="F158" s="0" t="s">
        <v>25</v>
      </c>
      <c r="G158" s="0" t="s">
        <v>877</v>
      </c>
      <c r="H158" s="0" t="e">
        <f aca="false">#N/A</f>
        <v>#N/A</v>
      </c>
      <c r="I158" s="0" t="e">
        <f aca="false">#N/A</f>
        <v>#N/A</v>
      </c>
      <c r="J158" s="0" t="e">
        <f aca="false">#N/A</f>
        <v>#N/A</v>
      </c>
      <c r="K158" s="0" t="e">
        <f aca="false">#N/A</f>
        <v>#N/A</v>
      </c>
      <c r="L158" s="0" t="e">
        <f aca="false">#N/A</f>
        <v>#N/A</v>
      </c>
      <c r="M158" s="0" t="s">
        <v>26</v>
      </c>
      <c r="N158" s="0" t="s">
        <v>26</v>
      </c>
      <c r="O158" s="0" t="s">
        <v>26</v>
      </c>
      <c r="P158" s="0" t="s">
        <v>26</v>
      </c>
      <c r="Q158" s="1" t="b">
        <f aca="false">FALSE()</f>
        <v>0</v>
      </c>
      <c r="R158" s="0" t="e">
        <f aca="false">#N/A</f>
        <v>#N/A</v>
      </c>
      <c r="S158" s="0" t="e">
        <f aca="false">#N/A</f>
        <v>#N/A</v>
      </c>
      <c r="T158" s="2" t="s">
        <v>879</v>
      </c>
    </row>
    <row r="159" customFormat="false" ht="15.85" hidden="false" customHeight="true" outlineLevel="0" collapsed="false">
      <c r="A159" s="0" t="s">
        <v>880</v>
      </c>
      <c r="B159" s="0" t="e">
        <f aca="false">#N/A</f>
        <v>#N/A</v>
      </c>
      <c r="C159" s="0" t="s">
        <v>881</v>
      </c>
      <c r="D159" s="0" t="s">
        <v>882</v>
      </c>
      <c r="E159" s="0" t="e">
        <f aca="false">#N/A</f>
        <v>#N/A</v>
      </c>
      <c r="F159" s="0" t="s">
        <v>25</v>
      </c>
      <c r="G159" s="0" t="s">
        <v>881</v>
      </c>
      <c r="H159" s="0" t="e">
        <f aca="false">#N/A</f>
        <v>#N/A</v>
      </c>
      <c r="I159" s="0" t="e">
        <f aca="false">#N/A</f>
        <v>#N/A</v>
      </c>
      <c r="J159" s="0" t="e">
        <f aca="false">#N/A</f>
        <v>#N/A</v>
      </c>
      <c r="K159" s="0" t="e">
        <f aca="false">#N/A</f>
        <v>#N/A</v>
      </c>
      <c r="L159" s="0" t="e">
        <f aca="false">#N/A</f>
        <v>#N/A</v>
      </c>
      <c r="M159" s="0" t="s">
        <v>26</v>
      </c>
      <c r="N159" s="0" t="s">
        <v>26</v>
      </c>
      <c r="O159" s="0" t="s">
        <v>26</v>
      </c>
      <c r="P159" s="0" t="s">
        <v>26</v>
      </c>
      <c r="Q159" s="1" t="b">
        <f aca="false">FALSE()</f>
        <v>0</v>
      </c>
      <c r="R159" s="0" t="e">
        <f aca="false">#N/A</f>
        <v>#N/A</v>
      </c>
      <c r="S159" s="0" t="e">
        <f aca="false">#N/A</f>
        <v>#N/A</v>
      </c>
      <c r="T159" s="2" t="s">
        <v>883</v>
      </c>
    </row>
    <row r="160" customFormat="false" ht="15.85" hidden="false" customHeight="true" outlineLevel="0" collapsed="false">
      <c r="A160" s="0" t="s">
        <v>884</v>
      </c>
      <c r="B160" s="0" t="e">
        <f aca="false">#N/A</f>
        <v>#N/A</v>
      </c>
      <c r="C160" s="0" t="s">
        <v>885</v>
      </c>
      <c r="D160" s="0" t="s">
        <v>886</v>
      </c>
      <c r="E160" s="0" t="e">
        <f aca="false">#N/A</f>
        <v>#N/A</v>
      </c>
      <c r="F160" s="0" t="s">
        <v>25</v>
      </c>
      <c r="G160" s="0" t="s">
        <v>885</v>
      </c>
      <c r="H160" s="0" t="e">
        <f aca="false">#N/A</f>
        <v>#N/A</v>
      </c>
      <c r="I160" s="0" t="e">
        <f aca="false">#N/A</f>
        <v>#N/A</v>
      </c>
      <c r="J160" s="0" t="e">
        <f aca="false">#N/A</f>
        <v>#N/A</v>
      </c>
      <c r="K160" s="0" t="e">
        <f aca="false">#N/A</f>
        <v>#N/A</v>
      </c>
      <c r="L160" s="0" t="e">
        <f aca="false">#N/A</f>
        <v>#N/A</v>
      </c>
      <c r="M160" s="0" t="s">
        <v>26</v>
      </c>
      <c r="N160" s="0" t="s">
        <v>26</v>
      </c>
      <c r="O160" s="0" t="s">
        <v>26</v>
      </c>
      <c r="P160" s="0" t="s">
        <v>26</v>
      </c>
      <c r="Q160" s="1" t="b">
        <f aca="false">FALSE()</f>
        <v>0</v>
      </c>
      <c r="R160" s="0" t="e">
        <f aca="false">#N/A</f>
        <v>#N/A</v>
      </c>
      <c r="S160" s="0" t="e">
        <f aca="false">#N/A</f>
        <v>#N/A</v>
      </c>
      <c r="T160" s="2" t="s">
        <v>887</v>
      </c>
    </row>
    <row r="161" customFormat="false" ht="15.85" hidden="false" customHeight="true" outlineLevel="0" collapsed="false">
      <c r="A161" s="0" t="s">
        <v>888</v>
      </c>
      <c r="B161" s="0" t="e">
        <f aca="false">#N/A</f>
        <v>#N/A</v>
      </c>
      <c r="C161" s="0" t="s">
        <v>889</v>
      </c>
      <c r="D161" s="0" t="s">
        <v>890</v>
      </c>
      <c r="E161" s="0" t="e">
        <f aca="false">#N/A</f>
        <v>#N/A</v>
      </c>
      <c r="F161" s="0" t="s">
        <v>25</v>
      </c>
      <c r="G161" s="0" t="s">
        <v>889</v>
      </c>
      <c r="H161" s="0" t="e">
        <f aca="false">#N/A</f>
        <v>#N/A</v>
      </c>
      <c r="I161" s="0" t="e">
        <f aca="false">#N/A</f>
        <v>#N/A</v>
      </c>
      <c r="J161" s="0" t="e">
        <f aca="false">#N/A</f>
        <v>#N/A</v>
      </c>
      <c r="K161" s="0" t="e">
        <f aca="false">#N/A</f>
        <v>#N/A</v>
      </c>
      <c r="L161" s="0" t="e">
        <f aca="false">#N/A</f>
        <v>#N/A</v>
      </c>
      <c r="M161" s="0" t="s">
        <v>26</v>
      </c>
      <c r="N161" s="0" t="s">
        <v>26</v>
      </c>
      <c r="O161" s="0" t="s">
        <v>26</v>
      </c>
      <c r="P161" s="0" t="s">
        <v>26</v>
      </c>
      <c r="Q161" s="1" t="b">
        <f aca="false">FALSE()</f>
        <v>0</v>
      </c>
      <c r="R161" s="0" t="e">
        <f aca="false">#N/A</f>
        <v>#N/A</v>
      </c>
      <c r="S161" s="0" t="e">
        <f aca="false">#N/A</f>
        <v>#N/A</v>
      </c>
      <c r="T161" s="2" t="s">
        <v>891</v>
      </c>
    </row>
    <row r="162" customFormat="false" ht="15.85" hidden="false" customHeight="true" outlineLevel="0" collapsed="false">
      <c r="A162" s="0" t="s">
        <v>892</v>
      </c>
      <c r="B162" s="0" t="e">
        <f aca="false">#N/A</f>
        <v>#N/A</v>
      </c>
      <c r="C162" s="0" t="s">
        <v>893</v>
      </c>
      <c r="D162" s="0" t="s">
        <v>894</v>
      </c>
      <c r="E162" s="0" t="e">
        <f aca="false">#N/A</f>
        <v>#N/A</v>
      </c>
      <c r="F162" s="0" t="s">
        <v>25</v>
      </c>
      <c r="G162" s="0" t="s">
        <v>893</v>
      </c>
      <c r="H162" s="0" t="e">
        <f aca="false">#N/A</f>
        <v>#N/A</v>
      </c>
      <c r="I162" s="0" t="e">
        <f aca="false">#N/A</f>
        <v>#N/A</v>
      </c>
      <c r="J162" s="0" t="e">
        <f aca="false">#N/A</f>
        <v>#N/A</v>
      </c>
      <c r="K162" s="0" t="e">
        <f aca="false">#N/A</f>
        <v>#N/A</v>
      </c>
      <c r="L162" s="0" t="e">
        <f aca="false">#N/A</f>
        <v>#N/A</v>
      </c>
      <c r="M162" s="0" t="s">
        <v>26</v>
      </c>
      <c r="N162" s="0" t="s">
        <v>26</v>
      </c>
      <c r="O162" s="0" t="s">
        <v>26</v>
      </c>
      <c r="P162" s="0" t="s">
        <v>26</v>
      </c>
      <c r="Q162" s="1" t="b">
        <f aca="false">FALSE()</f>
        <v>0</v>
      </c>
      <c r="R162" s="0" t="e">
        <f aca="false">#N/A</f>
        <v>#N/A</v>
      </c>
      <c r="S162" s="0" t="e">
        <f aca="false">#N/A</f>
        <v>#N/A</v>
      </c>
      <c r="T162" s="2" t="s">
        <v>895</v>
      </c>
    </row>
    <row r="163" customFormat="false" ht="15.85" hidden="false" customHeight="true" outlineLevel="0" collapsed="false">
      <c r="A163" s="0" t="s">
        <v>896</v>
      </c>
      <c r="B163" s="0" t="e">
        <f aca="false">#N/A</f>
        <v>#N/A</v>
      </c>
      <c r="C163" s="0" t="s">
        <v>897</v>
      </c>
      <c r="D163" s="0" t="s">
        <v>898</v>
      </c>
      <c r="E163" s="0" t="e">
        <f aca="false">#N/A</f>
        <v>#N/A</v>
      </c>
      <c r="F163" s="0" t="s">
        <v>25</v>
      </c>
      <c r="G163" s="0" t="s">
        <v>897</v>
      </c>
      <c r="H163" s="0" t="e">
        <f aca="false">#N/A</f>
        <v>#N/A</v>
      </c>
      <c r="I163" s="0" t="e">
        <f aca="false">#N/A</f>
        <v>#N/A</v>
      </c>
      <c r="J163" s="0" t="e">
        <f aca="false">#N/A</f>
        <v>#N/A</v>
      </c>
      <c r="K163" s="0" t="e">
        <f aca="false">#N/A</f>
        <v>#N/A</v>
      </c>
      <c r="L163" s="0" t="e">
        <f aca="false">#N/A</f>
        <v>#N/A</v>
      </c>
      <c r="M163" s="0" t="s">
        <v>26</v>
      </c>
      <c r="N163" s="0" t="s">
        <v>26</v>
      </c>
      <c r="O163" s="0" t="s">
        <v>26</v>
      </c>
      <c r="P163" s="0" t="s">
        <v>26</v>
      </c>
      <c r="Q163" s="1" t="b">
        <f aca="false">FALSE()</f>
        <v>0</v>
      </c>
      <c r="R163" s="0" t="e">
        <f aca="false">#N/A</f>
        <v>#N/A</v>
      </c>
      <c r="S163" s="0" t="e">
        <f aca="false">#N/A</f>
        <v>#N/A</v>
      </c>
      <c r="T163" s="2" t="s">
        <v>899</v>
      </c>
    </row>
    <row r="164" customFormat="false" ht="15.85" hidden="false" customHeight="true" outlineLevel="0" collapsed="false">
      <c r="A164" s="0" t="s">
        <v>900</v>
      </c>
      <c r="B164" s="0" t="e">
        <f aca="false">#N/A</f>
        <v>#N/A</v>
      </c>
      <c r="C164" s="0" t="s">
        <v>901</v>
      </c>
      <c r="D164" s="0" t="s">
        <v>902</v>
      </c>
      <c r="E164" s="0" t="e">
        <f aca="false">#N/A</f>
        <v>#N/A</v>
      </c>
      <c r="F164" s="0" t="s">
        <v>25</v>
      </c>
      <c r="G164" s="0" t="s">
        <v>901</v>
      </c>
      <c r="H164" s="0" t="e">
        <f aca="false">#N/A</f>
        <v>#N/A</v>
      </c>
      <c r="I164" s="0" t="e">
        <f aca="false">#N/A</f>
        <v>#N/A</v>
      </c>
      <c r="J164" s="0" t="e">
        <f aca="false">#N/A</f>
        <v>#N/A</v>
      </c>
      <c r="K164" s="0" t="e">
        <f aca="false">#N/A</f>
        <v>#N/A</v>
      </c>
      <c r="L164" s="0" t="e">
        <f aca="false">#N/A</f>
        <v>#N/A</v>
      </c>
      <c r="M164" s="0" t="s">
        <v>26</v>
      </c>
      <c r="N164" s="0" t="s">
        <v>26</v>
      </c>
      <c r="O164" s="0" t="s">
        <v>26</v>
      </c>
      <c r="P164" s="0" t="s">
        <v>26</v>
      </c>
      <c r="Q164" s="1" t="b">
        <f aca="false">FALSE()</f>
        <v>0</v>
      </c>
      <c r="R164" s="0" t="e">
        <f aca="false">#N/A</f>
        <v>#N/A</v>
      </c>
      <c r="S164" s="0" t="e">
        <f aca="false">#N/A</f>
        <v>#N/A</v>
      </c>
      <c r="T164" s="2" t="s">
        <v>903</v>
      </c>
    </row>
    <row r="165" customFormat="false" ht="15.85" hidden="false" customHeight="true" outlineLevel="0" collapsed="false">
      <c r="A165" s="0" t="s">
        <v>904</v>
      </c>
      <c r="B165" s="0" t="e">
        <f aca="false">#N/A</f>
        <v>#N/A</v>
      </c>
      <c r="C165" s="0" t="s">
        <v>905</v>
      </c>
      <c r="D165" s="0" t="s">
        <v>906</v>
      </c>
      <c r="E165" s="0" t="e">
        <f aca="false">#N/A</f>
        <v>#N/A</v>
      </c>
      <c r="F165" s="0" t="s">
        <v>25</v>
      </c>
      <c r="G165" s="0" t="s">
        <v>905</v>
      </c>
      <c r="H165" s="0" t="e">
        <f aca="false">#N/A</f>
        <v>#N/A</v>
      </c>
      <c r="I165" s="0" t="e">
        <f aca="false">#N/A</f>
        <v>#N/A</v>
      </c>
      <c r="J165" s="0" t="e">
        <f aca="false">#N/A</f>
        <v>#N/A</v>
      </c>
      <c r="K165" s="0" t="e">
        <f aca="false">#N/A</f>
        <v>#N/A</v>
      </c>
      <c r="L165" s="0" t="e">
        <f aca="false">#N/A</f>
        <v>#N/A</v>
      </c>
      <c r="M165" s="0" t="s">
        <v>26</v>
      </c>
      <c r="N165" s="0" t="s">
        <v>26</v>
      </c>
      <c r="O165" s="0" t="s">
        <v>26</v>
      </c>
      <c r="P165" s="0" t="s">
        <v>26</v>
      </c>
      <c r="Q165" s="1" t="b">
        <f aca="false">FALSE()</f>
        <v>0</v>
      </c>
      <c r="R165" s="0" t="e">
        <f aca="false">#N/A</f>
        <v>#N/A</v>
      </c>
      <c r="S165" s="0" t="e">
        <f aca="false">#N/A</f>
        <v>#N/A</v>
      </c>
      <c r="T165" s="2" t="s">
        <v>907</v>
      </c>
    </row>
    <row r="166" customFormat="false" ht="15.85" hidden="false" customHeight="true" outlineLevel="0" collapsed="false">
      <c r="A166" s="0" t="s">
        <v>908</v>
      </c>
      <c r="B166" s="0" t="e">
        <f aca="false">#N/A</f>
        <v>#N/A</v>
      </c>
      <c r="C166" s="0" t="s">
        <v>909</v>
      </c>
      <c r="D166" s="0" t="s">
        <v>910</v>
      </c>
      <c r="E166" s="0" t="e">
        <f aca="false">#N/A</f>
        <v>#N/A</v>
      </c>
      <c r="F166" s="0" t="s">
        <v>25</v>
      </c>
      <c r="G166" s="0" t="s">
        <v>909</v>
      </c>
      <c r="H166" s="0" t="e">
        <f aca="false">#N/A</f>
        <v>#N/A</v>
      </c>
      <c r="I166" s="0" t="e">
        <f aca="false">#N/A</f>
        <v>#N/A</v>
      </c>
      <c r="J166" s="0" t="e">
        <f aca="false">#N/A</f>
        <v>#N/A</v>
      </c>
      <c r="K166" s="0" t="e">
        <f aca="false">#N/A</f>
        <v>#N/A</v>
      </c>
      <c r="L166" s="0" t="e">
        <f aca="false">#N/A</f>
        <v>#N/A</v>
      </c>
      <c r="M166" s="0" t="s">
        <v>26</v>
      </c>
      <c r="N166" s="0" t="s">
        <v>26</v>
      </c>
      <c r="O166" s="0" t="s">
        <v>26</v>
      </c>
      <c r="P166" s="0" t="s">
        <v>26</v>
      </c>
      <c r="Q166" s="1" t="b">
        <f aca="false">FALSE()</f>
        <v>0</v>
      </c>
      <c r="R166" s="0" t="e">
        <f aca="false">#N/A</f>
        <v>#N/A</v>
      </c>
      <c r="S166" s="0" t="e">
        <f aca="false">#N/A</f>
        <v>#N/A</v>
      </c>
      <c r="T166" s="2" t="s">
        <v>911</v>
      </c>
    </row>
    <row r="167" customFormat="false" ht="15.85" hidden="false" customHeight="true" outlineLevel="0" collapsed="false">
      <c r="A167" s="0" t="s">
        <v>912</v>
      </c>
      <c r="B167" s="0" t="e">
        <f aca="false">#N/A</f>
        <v>#N/A</v>
      </c>
      <c r="C167" s="0" t="s">
        <v>913</v>
      </c>
      <c r="D167" s="0" t="s">
        <v>914</v>
      </c>
      <c r="E167" s="0" t="e">
        <f aca="false">#N/A</f>
        <v>#N/A</v>
      </c>
      <c r="F167" s="0" t="s">
        <v>25</v>
      </c>
      <c r="G167" s="0" t="s">
        <v>913</v>
      </c>
      <c r="H167" s="0" t="e">
        <f aca="false">#N/A</f>
        <v>#N/A</v>
      </c>
      <c r="I167" s="0" t="e">
        <f aca="false">#N/A</f>
        <v>#N/A</v>
      </c>
      <c r="J167" s="0" t="e">
        <f aca="false">#N/A</f>
        <v>#N/A</v>
      </c>
      <c r="K167" s="0" t="e">
        <f aca="false">#N/A</f>
        <v>#N/A</v>
      </c>
      <c r="L167" s="0" t="e">
        <f aca="false">#N/A</f>
        <v>#N/A</v>
      </c>
      <c r="M167" s="0" t="s">
        <v>26</v>
      </c>
      <c r="N167" s="0" t="s">
        <v>26</v>
      </c>
      <c r="O167" s="0" t="s">
        <v>26</v>
      </c>
      <c r="P167" s="0" t="s">
        <v>26</v>
      </c>
      <c r="Q167" s="1" t="b">
        <f aca="false">FALSE()</f>
        <v>0</v>
      </c>
      <c r="R167" s="0" t="e">
        <f aca="false">#N/A</f>
        <v>#N/A</v>
      </c>
      <c r="S167" s="0" t="e">
        <f aca="false">#N/A</f>
        <v>#N/A</v>
      </c>
      <c r="T167" s="2" t="s">
        <v>915</v>
      </c>
    </row>
    <row r="168" customFormat="false" ht="15.85" hidden="false" customHeight="true" outlineLevel="0" collapsed="false">
      <c r="A168" s="0" t="s">
        <v>916</v>
      </c>
      <c r="B168" s="0" t="e">
        <f aca="false">#N/A</f>
        <v>#N/A</v>
      </c>
      <c r="C168" s="0" t="s">
        <v>917</v>
      </c>
      <c r="D168" s="0" t="s">
        <v>918</v>
      </c>
      <c r="E168" s="0" t="e">
        <f aca="false">#N/A</f>
        <v>#N/A</v>
      </c>
      <c r="F168" s="0" t="s">
        <v>25</v>
      </c>
      <c r="G168" s="0" t="s">
        <v>917</v>
      </c>
      <c r="H168" s="0" t="e">
        <f aca="false">#N/A</f>
        <v>#N/A</v>
      </c>
      <c r="I168" s="0" t="e">
        <f aca="false">#N/A</f>
        <v>#N/A</v>
      </c>
      <c r="J168" s="0" t="e">
        <f aca="false">#N/A</f>
        <v>#N/A</v>
      </c>
      <c r="K168" s="0" t="e">
        <f aca="false">#N/A</f>
        <v>#N/A</v>
      </c>
      <c r="L168" s="0" t="e">
        <f aca="false">#N/A</f>
        <v>#N/A</v>
      </c>
      <c r="M168" s="0" t="s">
        <v>26</v>
      </c>
      <c r="N168" s="0" t="s">
        <v>26</v>
      </c>
      <c r="O168" s="0" t="s">
        <v>26</v>
      </c>
      <c r="P168" s="0" t="s">
        <v>26</v>
      </c>
      <c r="Q168" s="1" t="b">
        <f aca="false">FALSE()</f>
        <v>0</v>
      </c>
      <c r="R168" s="0" t="e">
        <f aca="false">#N/A</f>
        <v>#N/A</v>
      </c>
      <c r="S168" s="0" t="e">
        <f aca="false">#N/A</f>
        <v>#N/A</v>
      </c>
      <c r="T168" s="2" t="s">
        <v>919</v>
      </c>
    </row>
    <row r="169" customFormat="false" ht="15.85" hidden="false" customHeight="true" outlineLevel="0" collapsed="false">
      <c r="A169" s="0" t="s">
        <v>920</v>
      </c>
      <c r="B169" s="0" t="e">
        <f aca="false">#N/A</f>
        <v>#N/A</v>
      </c>
      <c r="C169" s="0" t="s">
        <v>921</v>
      </c>
      <c r="D169" s="0" t="s">
        <v>922</v>
      </c>
      <c r="E169" s="0" t="e">
        <f aca="false">#N/A</f>
        <v>#N/A</v>
      </c>
      <c r="F169" s="0" t="s">
        <v>25</v>
      </c>
      <c r="G169" s="0" t="s">
        <v>921</v>
      </c>
      <c r="H169" s="0" t="e">
        <f aca="false">#N/A</f>
        <v>#N/A</v>
      </c>
      <c r="I169" s="0" t="e">
        <f aca="false">#N/A</f>
        <v>#N/A</v>
      </c>
      <c r="J169" s="0" t="e">
        <f aca="false">#N/A</f>
        <v>#N/A</v>
      </c>
      <c r="K169" s="0" t="e">
        <f aca="false">#N/A</f>
        <v>#N/A</v>
      </c>
      <c r="L169" s="0" t="e">
        <f aca="false">#N/A</f>
        <v>#N/A</v>
      </c>
      <c r="M169" s="0" t="s">
        <v>26</v>
      </c>
      <c r="N169" s="0" t="s">
        <v>26</v>
      </c>
      <c r="O169" s="0" t="s">
        <v>26</v>
      </c>
      <c r="P169" s="0" t="s">
        <v>26</v>
      </c>
      <c r="Q169" s="1" t="b">
        <f aca="false">FALSE()</f>
        <v>0</v>
      </c>
      <c r="R169" s="0" t="e">
        <f aca="false">#N/A</f>
        <v>#N/A</v>
      </c>
      <c r="S169" s="0" t="e">
        <f aca="false">#N/A</f>
        <v>#N/A</v>
      </c>
      <c r="T169" s="2" t="s">
        <v>923</v>
      </c>
    </row>
    <row r="170" customFormat="false" ht="15.85" hidden="false" customHeight="true" outlineLevel="0" collapsed="false">
      <c r="A170" s="0" t="s">
        <v>924</v>
      </c>
      <c r="B170" s="0" t="e">
        <f aca="false">#N/A</f>
        <v>#N/A</v>
      </c>
      <c r="C170" s="0" t="s">
        <v>925</v>
      </c>
      <c r="D170" s="0" t="s">
        <v>926</v>
      </c>
      <c r="E170" s="0" t="e">
        <f aca="false">#N/A</f>
        <v>#N/A</v>
      </c>
      <c r="F170" s="0" t="s">
        <v>25</v>
      </c>
      <c r="G170" s="0" t="s">
        <v>925</v>
      </c>
      <c r="H170" s="0" t="e">
        <f aca="false">#N/A</f>
        <v>#N/A</v>
      </c>
      <c r="I170" s="0" t="e">
        <f aca="false">#N/A</f>
        <v>#N/A</v>
      </c>
      <c r="J170" s="0" t="e">
        <f aca="false">#N/A</f>
        <v>#N/A</v>
      </c>
      <c r="K170" s="0" t="e">
        <f aca="false">#N/A</f>
        <v>#N/A</v>
      </c>
      <c r="L170" s="0" t="e">
        <f aca="false">#N/A</f>
        <v>#N/A</v>
      </c>
      <c r="M170" s="0" t="s">
        <v>26</v>
      </c>
      <c r="N170" s="0" t="s">
        <v>26</v>
      </c>
      <c r="O170" s="0" t="s">
        <v>26</v>
      </c>
      <c r="P170" s="0" t="s">
        <v>26</v>
      </c>
      <c r="Q170" s="1" t="b">
        <f aca="false">FALSE()</f>
        <v>0</v>
      </c>
      <c r="R170" s="0" t="e">
        <f aca="false">#N/A</f>
        <v>#N/A</v>
      </c>
      <c r="S170" s="0" t="e">
        <f aca="false">#N/A</f>
        <v>#N/A</v>
      </c>
      <c r="T170" s="2" t="s">
        <v>927</v>
      </c>
    </row>
    <row r="171" customFormat="false" ht="15.85" hidden="false" customHeight="true" outlineLevel="0" collapsed="false">
      <c r="A171" s="0" t="s">
        <v>928</v>
      </c>
      <c r="B171" s="0" t="e">
        <f aca="false">#N/A</f>
        <v>#N/A</v>
      </c>
      <c r="C171" s="0" t="s">
        <v>929</v>
      </c>
      <c r="D171" s="0" t="s">
        <v>930</v>
      </c>
      <c r="E171" s="0" t="e">
        <f aca="false">#N/A</f>
        <v>#N/A</v>
      </c>
      <c r="F171" s="0" t="s">
        <v>25</v>
      </c>
      <c r="G171" s="0" t="s">
        <v>929</v>
      </c>
      <c r="H171" s="0" t="e">
        <f aca="false">#N/A</f>
        <v>#N/A</v>
      </c>
      <c r="I171" s="0" t="e">
        <f aca="false">#N/A</f>
        <v>#N/A</v>
      </c>
      <c r="J171" s="0" t="e">
        <f aca="false">#N/A</f>
        <v>#N/A</v>
      </c>
      <c r="K171" s="0" t="e">
        <f aca="false">#N/A</f>
        <v>#N/A</v>
      </c>
      <c r="L171" s="0" t="e">
        <f aca="false">#N/A</f>
        <v>#N/A</v>
      </c>
      <c r="M171" s="0" t="s">
        <v>26</v>
      </c>
      <c r="N171" s="0" t="s">
        <v>26</v>
      </c>
      <c r="O171" s="0" t="s">
        <v>26</v>
      </c>
      <c r="P171" s="0" t="s">
        <v>26</v>
      </c>
      <c r="Q171" s="1" t="b">
        <f aca="false">FALSE()</f>
        <v>0</v>
      </c>
      <c r="R171" s="0" t="e">
        <f aca="false">#N/A</f>
        <v>#N/A</v>
      </c>
      <c r="S171" s="0" t="e">
        <f aca="false">#N/A</f>
        <v>#N/A</v>
      </c>
      <c r="T171" s="2" t="s">
        <v>931</v>
      </c>
    </row>
    <row r="172" customFormat="false" ht="15.85" hidden="false" customHeight="true" outlineLevel="0" collapsed="false">
      <c r="A172" s="0" t="s">
        <v>932</v>
      </c>
      <c r="B172" s="0" t="e">
        <f aca="false">#N/A</f>
        <v>#N/A</v>
      </c>
      <c r="C172" s="0" t="s">
        <v>933</v>
      </c>
      <c r="D172" s="0" t="s">
        <v>934</v>
      </c>
      <c r="E172" s="0" t="e">
        <f aca="false">#N/A</f>
        <v>#N/A</v>
      </c>
      <c r="F172" s="0" t="s">
        <v>25</v>
      </c>
      <c r="G172" s="0" t="s">
        <v>933</v>
      </c>
      <c r="H172" s="0" t="e">
        <f aca="false">#N/A</f>
        <v>#N/A</v>
      </c>
      <c r="I172" s="0" t="e">
        <f aca="false">#N/A</f>
        <v>#N/A</v>
      </c>
      <c r="J172" s="0" t="e">
        <f aca="false">#N/A</f>
        <v>#N/A</v>
      </c>
      <c r="K172" s="0" t="e">
        <f aca="false">#N/A</f>
        <v>#N/A</v>
      </c>
      <c r="L172" s="0" t="e">
        <f aca="false">#N/A</f>
        <v>#N/A</v>
      </c>
      <c r="M172" s="0" t="s">
        <v>26</v>
      </c>
      <c r="N172" s="0" t="s">
        <v>26</v>
      </c>
      <c r="O172" s="0" t="s">
        <v>26</v>
      </c>
      <c r="P172" s="0" t="s">
        <v>26</v>
      </c>
      <c r="Q172" s="1" t="b">
        <f aca="false">FALSE()</f>
        <v>0</v>
      </c>
      <c r="R172" s="0" t="e">
        <f aca="false">#N/A</f>
        <v>#N/A</v>
      </c>
      <c r="S172" s="0" t="e">
        <f aca="false">#N/A</f>
        <v>#N/A</v>
      </c>
      <c r="T172" s="2" t="s">
        <v>935</v>
      </c>
    </row>
    <row r="173" customFormat="false" ht="15.85" hidden="false" customHeight="true" outlineLevel="0" collapsed="false">
      <c r="A173" s="0" t="s">
        <v>936</v>
      </c>
      <c r="B173" s="0" t="e">
        <f aca="false">#N/A</f>
        <v>#N/A</v>
      </c>
      <c r="C173" s="0" t="s">
        <v>937</v>
      </c>
      <c r="D173" s="0" t="s">
        <v>938</v>
      </c>
      <c r="E173" s="0" t="e">
        <f aca="false">#N/A</f>
        <v>#N/A</v>
      </c>
      <c r="F173" s="0" t="s">
        <v>25</v>
      </c>
      <c r="G173" s="0" t="s">
        <v>937</v>
      </c>
      <c r="H173" s="0" t="e">
        <f aca="false">#N/A</f>
        <v>#N/A</v>
      </c>
      <c r="I173" s="0" t="e">
        <f aca="false">#N/A</f>
        <v>#N/A</v>
      </c>
      <c r="J173" s="0" t="e">
        <f aca="false">#N/A</f>
        <v>#N/A</v>
      </c>
      <c r="K173" s="0" t="e">
        <f aca="false">#N/A</f>
        <v>#N/A</v>
      </c>
      <c r="L173" s="0" t="e">
        <f aca="false">#N/A</f>
        <v>#N/A</v>
      </c>
      <c r="M173" s="0" t="s">
        <v>26</v>
      </c>
      <c r="N173" s="0" t="s">
        <v>26</v>
      </c>
      <c r="O173" s="0" t="s">
        <v>26</v>
      </c>
      <c r="P173" s="0" t="s">
        <v>26</v>
      </c>
      <c r="Q173" s="1" t="b">
        <f aca="false">FALSE()</f>
        <v>0</v>
      </c>
      <c r="R173" s="0" t="e">
        <f aca="false">#N/A</f>
        <v>#N/A</v>
      </c>
      <c r="S173" s="0" t="e">
        <f aca="false">#N/A</f>
        <v>#N/A</v>
      </c>
      <c r="T173" s="2" t="s">
        <v>939</v>
      </c>
    </row>
    <row r="174" customFormat="false" ht="15.85" hidden="false" customHeight="true" outlineLevel="0" collapsed="false">
      <c r="A174" s="0" t="s">
        <v>940</v>
      </c>
      <c r="B174" s="0" t="e">
        <f aca="false">#N/A</f>
        <v>#N/A</v>
      </c>
      <c r="C174" s="0" t="s">
        <v>941</v>
      </c>
      <c r="D174" s="0" t="s">
        <v>942</v>
      </c>
      <c r="E174" s="0" t="e">
        <f aca="false">#N/A</f>
        <v>#N/A</v>
      </c>
      <c r="F174" s="0" t="s">
        <v>25</v>
      </c>
      <c r="G174" s="0" t="s">
        <v>941</v>
      </c>
      <c r="H174" s="0" t="e">
        <f aca="false">#N/A</f>
        <v>#N/A</v>
      </c>
      <c r="I174" s="0" t="e">
        <f aca="false">#N/A</f>
        <v>#N/A</v>
      </c>
      <c r="J174" s="0" t="e">
        <f aca="false">#N/A</f>
        <v>#N/A</v>
      </c>
      <c r="K174" s="0" t="e">
        <f aca="false">#N/A</f>
        <v>#N/A</v>
      </c>
      <c r="L174" s="0" t="e">
        <f aca="false">#N/A</f>
        <v>#N/A</v>
      </c>
      <c r="M174" s="0" t="s">
        <v>26</v>
      </c>
      <c r="N174" s="0" t="s">
        <v>26</v>
      </c>
      <c r="O174" s="0" t="s">
        <v>26</v>
      </c>
      <c r="P174" s="0" t="s">
        <v>26</v>
      </c>
      <c r="Q174" s="1" t="b">
        <f aca="false">FALSE()</f>
        <v>0</v>
      </c>
      <c r="R174" s="0" t="e">
        <f aca="false">#N/A</f>
        <v>#N/A</v>
      </c>
      <c r="S174" s="0" t="e">
        <f aca="false">#N/A</f>
        <v>#N/A</v>
      </c>
      <c r="T174" s="2" t="s">
        <v>943</v>
      </c>
    </row>
    <row r="175" customFormat="false" ht="15.85" hidden="false" customHeight="true" outlineLevel="0" collapsed="false">
      <c r="A175" s="0" t="s">
        <v>944</v>
      </c>
      <c r="B175" s="0" t="e">
        <f aca="false">#N/A</f>
        <v>#N/A</v>
      </c>
      <c r="C175" s="0" t="s">
        <v>945</v>
      </c>
      <c r="D175" s="0" t="s">
        <v>946</v>
      </c>
      <c r="E175" s="0" t="e">
        <f aca="false">#N/A</f>
        <v>#N/A</v>
      </c>
      <c r="F175" s="0" t="s">
        <v>25</v>
      </c>
      <c r="G175" s="0" t="s">
        <v>945</v>
      </c>
      <c r="H175" s="0" t="e">
        <f aca="false">#N/A</f>
        <v>#N/A</v>
      </c>
      <c r="I175" s="0" t="e">
        <f aca="false">#N/A</f>
        <v>#N/A</v>
      </c>
      <c r="J175" s="0" t="e">
        <f aca="false">#N/A</f>
        <v>#N/A</v>
      </c>
      <c r="K175" s="0" t="e">
        <f aca="false">#N/A</f>
        <v>#N/A</v>
      </c>
      <c r="L175" s="0" t="e">
        <f aca="false">#N/A</f>
        <v>#N/A</v>
      </c>
      <c r="M175" s="0" t="s">
        <v>235</v>
      </c>
      <c r="N175" s="0" t="s">
        <v>235</v>
      </c>
      <c r="O175" s="0" t="s">
        <v>26</v>
      </c>
      <c r="P175" s="0" t="s">
        <v>26</v>
      </c>
      <c r="Q175" s="1" t="b">
        <f aca="false">TRUE()</f>
        <v>1</v>
      </c>
      <c r="R175" s="0" t="s">
        <v>236</v>
      </c>
      <c r="S175" s="0" t="s">
        <v>947</v>
      </c>
      <c r="T175" s="2" t="s">
        <v>948</v>
      </c>
    </row>
    <row r="176" customFormat="false" ht="15.85" hidden="false" customHeight="true" outlineLevel="0" collapsed="false">
      <c r="A176" s="0" t="s">
        <v>949</v>
      </c>
      <c r="B176" s="0" t="e">
        <f aca="false">#N/A</f>
        <v>#N/A</v>
      </c>
      <c r="C176" s="0" t="s">
        <v>950</v>
      </c>
      <c r="D176" s="0" t="s">
        <v>951</v>
      </c>
      <c r="E176" s="0" t="e">
        <f aca="false">#N/A</f>
        <v>#N/A</v>
      </c>
      <c r="F176" s="0" t="s">
        <v>25</v>
      </c>
      <c r="G176" s="0" t="s">
        <v>950</v>
      </c>
      <c r="H176" s="0" t="e">
        <f aca="false">#N/A</f>
        <v>#N/A</v>
      </c>
      <c r="I176" s="0" t="e">
        <f aca="false">#N/A</f>
        <v>#N/A</v>
      </c>
      <c r="J176" s="0" t="e">
        <f aca="false">#N/A</f>
        <v>#N/A</v>
      </c>
      <c r="K176" s="0" t="e">
        <f aca="false">#N/A</f>
        <v>#N/A</v>
      </c>
      <c r="L176" s="0" t="e">
        <f aca="false">#N/A</f>
        <v>#N/A</v>
      </c>
      <c r="M176" s="0" t="s">
        <v>26</v>
      </c>
      <c r="N176" s="0" t="s">
        <v>26</v>
      </c>
      <c r="O176" s="0" t="s">
        <v>26</v>
      </c>
      <c r="P176" s="0" t="s">
        <v>26</v>
      </c>
      <c r="Q176" s="1" t="b">
        <f aca="false">FALSE()</f>
        <v>0</v>
      </c>
      <c r="R176" s="0" t="e">
        <f aca="false">#N/A</f>
        <v>#N/A</v>
      </c>
      <c r="S176" s="0" t="e">
        <f aca="false">#N/A</f>
        <v>#N/A</v>
      </c>
      <c r="T176" s="2" t="s">
        <v>952</v>
      </c>
    </row>
    <row r="177" customFormat="false" ht="15.85" hidden="false" customHeight="true" outlineLevel="0" collapsed="false">
      <c r="A177" s="0" t="s">
        <v>953</v>
      </c>
      <c r="B177" s="0" t="e">
        <f aca="false">#N/A</f>
        <v>#N/A</v>
      </c>
      <c r="C177" s="0" t="s">
        <v>954</v>
      </c>
      <c r="D177" s="0" t="s">
        <v>955</v>
      </c>
      <c r="E177" s="0" t="e">
        <f aca="false">#N/A</f>
        <v>#N/A</v>
      </c>
      <c r="F177" s="0" t="s">
        <v>25</v>
      </c>
      <c r="G177" s="0" t="s">
        <v>954</v>
      </c>
      <c r="H177" s="0" t="e">
        <f aca="false">#N/A</f>
        <v>#N/A</v>
      </c>
      <c r="I177" s="0" t="e">
        <f aca="false">#N/A</f>
        <v>#N/A</v>
      </c>
      <c r="J177" s="0" t="e">
        <f aca="false">#N/A</f>
        <v>#N/A</v>
      </c>
      <c r="K177" s="0" t="e">
        <f aca="false">#N/A</f>
        <v>#N/A</v>
      </c>
      <c r="L177" s="0" t="e">
        <f aca="false">#N/A</f>
        <v>#N/A</v>
      </c>
      <c r="M177" s="0" t="s">
        <v>26</v>
      </c>
      <c r="N177" s="0" t="s">
        <v>26</v>
      </c>
      <c r="O177" s="0" t="s">
        <v>26</v>
      </c>
      <c r="P177" s="0" t="s">
        <v>26</v>
      </c>
      <c r="Q177" s="1" t="b">
        <f aca="false">FALSE()</f>
        <v>0</v>
      </c>
      <c r="R177" s="0" t="e">
        <f aca="false">#N/A</f>
        <v>#N/A</v>
      </c>
      <c r="S177" s="0" t="e">
        <f aca="false">#N/A</f>
        <v>#N/A</v>
      </c>
      <c r="T177" s="2" t="s">
        <v>956</v>
      </c>
    </row>
    <row r="178" customFormat="false" ht="15.85" hidden="false" customHeight="true" outlineLevel="0" collapsed="false">
      <c r="A178" s="0" t="s">
        <v>957</v>
      </c>
      <c r="B178" s="0" t="e">
        <f aca="false">#N/A</f>
        <v>#N/A</v>
      </c>
      <c r="C178" s="0" t="s">
        <v>958</v>
      </c>
      <c r="D178" s="0" t="s">
        <v>959</v>
      </c>
      <c r="E178" s="0" t="e">
        <f aca="false">#N/A</f>
        <v>#N/A</v>
      </c>
      <c r="F178" s="0" t="s">
        <v>25</v>
      </c>
      <c r="G178" s="0" t="s">
        <v>958</v>
      </c>
      <c r="H178" s="0" t="e">
        <f aca="false">#N/A</f>
        <v>#N/A</v>
      </c>
      <c r="I178" s="0" t="e">
        <f aca="false">#N/A</f>
        <v>#N/A</v>
      </c>
      <c r="J178" s="0" t="e">
        <f aca="false">#N/A</f>
        <v>#N/A</v>
      </c>
      <c r="K178" s="0" t="e">
        <f aca="false">#N/A</f>
        <v>#N/A</v>
      </c>
      <c r="L178" s="0" t="e">
        <f aca="false">#N/A</f>
        <v>#N/A</v>
      </c>
      <c r="M178" s="0" t="s">
        <v>26</v>
      </c>
      <c r="N178" s="0" t="s">
        <v>26</v>
      </c>
      <c r="O178" s="0" t="s">
        <v>26</v>
      </c>
      <c r="P178" s="0" t="s">
        <v>26</v>
      </c>
      <c r="Q178" s="1" t="b">
        <f aca="false">FALSE()</f>
        <v>0</v>
      </c>
      <c r="R178" s="0" t="e">
        <f aca="false">#N/A</f>
        <v>#N/A</v>
      </c>
      <c r="S178" s="0" t="e">
        <f aca="false">#N/A</f>
        <v>#N/A</v>
      </c>
      <c r="T178" s="2" t="s">
        <v>960</v>
      </c>
    </row>
    <row r="179" customFormat="false" ht="15.85" hidden="false" customHeight="true" outlineLevel="0" collapsed="false">
      <c r="A179" s="0" t="s">
        <v>961</v>
      </c>
      <c r="B179" s="0" t="e">
        <f aca="false">#N/A</f>
        <v>#N/A</v>
      </c>
      <c r="C179" s="0" t="s">
        <v>962</v>
      </c>
      <c r="D179" s="0" t="s">
        <v>963</v>
      </c>
      <c r="E179" s="0" t="e">
        <f aca="false">#N/A</f>
        <v>#N/A</v>
      </c>
      <c r="F179" s="0" t="s">
        <v>25</v>
      </c>
      <c r="G179" s="0" t="s">
        <v>962</v>
      </c>
      <c r="H179" s="0" t="e">
        <f aca="false">#N/A</f>
        <v>#N/A</v>
      </c>
      <c r="I179" s="0" t="e">
        <f aca="false">#N/A</f>
        <v>#N/A</v>
      </c>
      <c r="J179" s="0" t="e">
        <f aca="false">#N/A</f>
        <v>#N/A</v>
      </c>
      <c r="K179" s="0" t="e">
        <f aca="false">#N/A</f>
        <v>#N/A</v>
      </c>
      <c r="L179" s="0" t="e">
        <f aca="false">#N/A</f>
        <v>#N/A</v>
      </c>
      <c r="M179" s="0" t="s">
        <v>26</v>
      </c>
      <c r="N179" s="0" t="s">
        <v>26</v>
      </c>
      <c r="O179" s="0" t="s">
        <v>26</v>
      </c>
      <c r="P179" s="0" t="s">
        <v>26</v>
      </c>
      <c r="Q179" s="1" t="b">
        <f aca="false">FALSE()</f>
        <v>0</v>
      </c>
      <c r="R179" s="0" t="e">
        <f aca="false">#N/A</f>
        <v>#N/A</v>
      </c>
      <c r="S179" s="0" t="e">
        <f aca="false">#N/A</f>
        <v>#N/A</v>
      </c>
      <c r="T179" s="2" t="s">
        <v>964</v>
      </c>
    </row>
    <row r="180" customFormat="false" ht="15.85" hidden="false" customHeight="true" outlineLevel="0" collapsed="false">
      <c r="A180" s="0" t="s">
        <v>965</v>
      </c>
      <c r="B180" s="0" t="e">
        <f aca="false">#N/A</f>
        <v>#N/A</v>
      </c>
      <c r="C180" s="0" t="s">
        <v>966</v>
      </c>
      <c r="D180" s="0" t="s">
        <v>967</v>
      </c>
      <c r="E180" s="0" t="e">
        <f aca="false">#N/A</f>
        <v>#N/A</v>
      </c>
      <c r="F180" s="0" t="s">
        <v>25</v>
      </c>
      <c r="G180" s="0" t="s">
        <v>966</v>
      </c>
      <c r="H180" s="0" t="e">
        <f aca="false">#N/A</f>
        <v>#N/A</v>
      </c>
      <c r="I180" s="0" t="e">
        <f aca="false">#N/A</f>
        <v>#N/A</v>
      </c>
      <c r="J180" s="0" t="e">
        <f aca="false">#N/A</f>
        <v>#N/A</v>
      </c>
      <c r="K180" s="0" t="e">
        <f aca="false">#N/A</f>
        <v>#N/A</v>
      </c>
      <c r="L180" s="0" t="e">
        <f aca="false">#N/A</f>
        <v>#N/A</v>
      </c>
      <c r="M180" s="0" t="s">
        <v>26</v>
      </c>
      <c r="N180" s="0" t="s">
        <v>26</v>
      </c>
      <c r="O180" s="0" t="s">
        <v>26</v>
      </c>
      <c r="P180" s="0" t="s">
        <v>26</v>
      </c>
      <c r="Q180" s="1" t="b">
        <f aca="false">FALSE()</f>
        <v>0</v>
      </c>
      <c r="R180" s="0" t="e">
        <f aca="false">#N/A</f>
        <v>#N/A</v>
      </c>
      <c r="S180" s="0" t="e">
        <f aca="false">#N/A</f>
        <v>#N/A</v>
      </c>
      <c r="T180" s="2" t="s">
        <v>968</v>
      </c>
    </row>
    <row r="181" customFormat="false" ht="15.85" hidden="false" customHeight="true" outlineLevel="0" collapsed="false">
      <c r="A181" s="0" t="s">
        <v>969</v>
      </c>
      <c r="B181" s="0" t="e">
        <f aca="false">#N/A</f>
        <v>#N/A</v>
      </c>
      <c r="C181" s="0" t="s">
        <v>970</v>
      </c>
      <c r="D181" s="0" t="s">
        <v>971</v>
      </c>
      <c r="E181" s="0" t="e">
        <f aca="false">#N/A</f>
        <v>#N/A</v>
      </c>
      <c r="F181" s="0" t="s">
        <v>25</v>
      </c>
      <c r="G181" s="0" t="s">
        <v>970</v>
      </c>
      <c r="H181" s="0" t="e">
        <f aca="false">#N/A</f>
        <v>#N/A</v>
      </c>
      <c r="I181" s="0" t="e">
        <f aca="false">#N/A</f>
        <v>#N/A</v>
      </c>
      <c r="J181" s="0" t="e">
        <f aca="false">#N/A</f>
        <v>#N/A</v>
      </c>
      <c r="K181" s="0" t="e">
        <f aca="false">#N/A</f>
        <v>#N/A</v>
      </c>
      <c r="L181" s="0" t="e">
        <f aca="false">#N/A</f>
        <v>#N/A</v>
      </c>
      <c r="M181" s="0" t="s">
        <v>26</v>
      </c>
      <c r="N181" s="0" t="s">
        <v>26</v>
      </c>
      <c r="O181" s="0" t="s">
        <v>26</v>
      </c>
      <c r="P181" s="0" t="s">
        <v>26</v>
      </c>
      <c r="Q181" s="1" t="b">
        <f aca="false">FALSE()</f>
        <v>0</v>
      </c>
      <c r="R181" s="0" t="e">
        <f aca="false">#N/A</f>
        <v>#N/A</v>
      </c>
      <c r="S181" s="0" t="e">
        <f aca="false">#N/A</f>
        <v>#N/A</v>
      </c>
      <c r="T181" s="2" t="s">
        <v>972</v>
      </c>
    </row>
    <row r="182" customFormat="false" ht="15.85" hidden="false" customHeight="true" outlineLevel="0" collapsed="false">
      <c r="A182" s="0" t="s">
        <v>973</v>
      </c>
      <c r="B182" s="0" t="e">
        <f aca="false">#N/A</f>
        <v>#N/A</v>
      </c>
      <c r="C182" s="0" t="s">
        <v>974</v>
      </c>
      <c r="D182" s="0" t="s">
        <v>975</v>
      </c>
      <c r="E182" s="0" t="e">
        <f aca="false">#N/A</f>
        <v>#N/A</v>
      </c>
      <c r="F182" s="0" t="s">
        <v>25</v>
      </c>
      <c r="G182" s="0" t="s">
        <v>974</v>
      </c>
      <c r="H182" s="0" t="e">
        <f aca="false">#N/A</f>
        <v>#N/A</v>
      </c>
      <c r="I182" s="0" t="e">
        <f aca="false">#N/A</f>
        <v>#N/A</v>
      </c>
      <c r="J182" s="0" t="e">
        <f aca="false">#N/A</f>
        <v>#N/A</v>
      </c>
      <c r="K182" s="0" t="e">
        <f aca="false">#N/A</f>
        <v>#N/A</v>
      </c>
      <c r="L182" s="0" t="e">
        <f aca="false">#N/A</f>
        <v>#N/A</v>
      </c>
      <c r="M182" s="0" t="s">
        <v>26</v>
      </c>
      <c r="N182" s="0" t="s">
        <v>26</v>
      </c>
      <c r="O182" s="0" t="s">
        <v>26</v>
      </c>
      <c r="P182" s="0" t="s">
        <v>26</v>
      </c>
      <c r="Q182" s="1" t="b">
        <f aca="false">FALSE()</f>
        <v>0</v>
      </c>
      <c r="R182" s="0" t="e">
        <f aca="false">#N/A</f>
        <v>#N/A</v>
      </c>
      <c r="S182" s="0" t="e">
        <f aca="false">#N/A</f>
        <v>#N/A</v>
      </c>
      <c r="T182" s="2" t="s">
        <v>976</v>
      </c>
    </row>
    <row r="183" customFormat="false" ht="15.85" hidden="false" customHeight="true" outlineLevel="0" collapsed="false">
      <c r="A183" s="0" t="s">
        <v>977</v>
      </c>
      <c r="B183" s="0" t="e">
        <f aca="false">#N/A</f>
        <v>#N/A</v>
      </c>
      <c r="C183" s="0" t="s">
        <v>978</v>
      </c>
      <c r="D183" s="0" t="s">
        <v>979</v>
      </c>
      <c r="E183" s="0" t="e">
        <f aca="false">#N/A</f>
        <v>#N/A</v>
      </c>
      <c r="F183" s="0" t="s">
        <v>25</v>
      </c>
      <c r="G183" s="0" t="s">
        <v>978</v>
      </c>
      <c r="H183" s="0" t="e">
        <f aca="false">#N/A</f>
        <v>#N/A</v>
      </c>
      <c r="I183" s="0" t="e">
        <f aca="false">#N/A</f>
        <v>#N/A</v>
      </c>
      <c r="J183" s="0" t="e">
        <f aca="false">#N/A</f>
        <v>#N/A</v>
      </c>
      <c r="K183" s="0" t="e">
        <f aca="false">#N/A</f>
        <v>#N/A</v>
      </c>
      <c r="L183" s="0" t="e">
        <f aca="false">#N/A</f>
        <v>#N/A</v>
      </c>
      <c r="M183" s="0" t="s">
        <v>26</v>
      </c>
      <c r="N183" s="0" t="s">
        <v>26</v>
      </c>
      <c r="O183" s="0" t="s">
        <v>26</v>
      </c>
      <c r="P183" s="0" t="s">
        <v>26</v>
      </c>
      <c r="Q183" s="1" t="b">
        <f aca="false">FALSE()</f>
        <v>0</v>
      </c>
      <c r="R183" s="0" t="e">
        <f aca="false">#N/A</f>
        <v>#N/A</v>
      </c>
      <c r="S183" s="0" t="e">
        <f aca="false">#N/A</f>
        <v>#N/A</v>
      </c>
      <c r="T183" s="2" t="s">
        <v>980</v>
      </c>
    </row>
    <row r="184" customFormat="false" ht="15.85" hidden="false" customHeight="true" outlineLevel="0" collapsed="false">
      <c r="A184" s="0" t="s">
        <v>981</v>
      </c>
      <c r="B184" s="0" t="e">
        <f aca="false">#N/A</f>
        <v>#N/A</v>
      </c>
      <c r="C184" s="0" t="s">
        <v>982</v>
      </c>
      <c r="D184" s="0" t="s">
        <v>983</v>
      </c>
      <c r="E184" s="0" t="e">
        <f aca="false">#N/A</f>
        <v>#N/A</v>
      </c>
      <c r="F184" s="0" t="s">
        <v>25</v>
      </c>
      <c r="G184" s="0" t="s">
        <v>982</v>
      </c>
      <c r="H184" s="0" t="e">
        <f aca="false">#N/A</f>
        <v>#N/A</v>
      </c>
      <c r="I184" s="0" t="e">
        <f aca="false">#N/A</f>
        <v>#N/A</v>
      </c>
      <c r="J184" s="0" t="e">
        <f aca="false">#N/A</f>
        <v>#N/A</v>
      </c>
      <c r="K184" s="0" t="e">
        <f aca="false">#N/A</f>
        <v>#N/A</v>
      </c>
      <c r="L184" s="0" t="e">
        <f aca="false">#N/A</f>
        <v>#N/A</v>
      </c>
      <c r="M184" s="0" t="s">
        <v>26</v>
      </c>
      <c r="N184" s="0" t="s">
        <v>26</v>
      </c>
      <c r="O184" s="0" t="s">
        <v>26</v>
      </c>
      <c r="P184" s="0" t="s">
        <v>26</v>
      </c>
      <c r="Q184" s="1" t="b">
        <f aca="false">FALSE()</f>
        <v>0</v>
      </c>
      <c r="R184" s="0" t="e">
        <f aca="false">#N/A</f>
        <v>#N/A</v>
      </c>
      <c r="S184" s="0" t="e">
        <f aca="false">#N/A</f>
        <v>#N/A</v>
      </c>
      <c r="T184" s="2" t="s">
        <v>984</v>
      </c>
    </row>
    <row r="185" customFormat="false" ht="15.85" hidden="false" customHeight="true" outlineLevel="0" collapsed="false">
      <c r="A185" s="0" t="s">
        <v>985</v>
      </c>
      <c r="B185" s="0" t="e">
        <f aca="false">#N/A</f>
        <v>#N/A</v>
      </c>
      <c r="C185" s="0" t="s">
        <v>986</v>
      </c>
      <c r="D185" s="0" t="s">
        <v>987</v>
      </c>
      <c r="E185" s="0" t="e">
        <f aca="false">#N/A</f>
        <v>#N/A</v>
      </c>
      <c r="F185" s="0" t="s">
        <v>25</v>
      </c>
      <c r="G185" s="0" t="s">
        <v>986</v>
      </c>
      <c r="H185" s="0" t="e">
        <f aca="false">#N/A</f>
        <v>#N/A</v>
      </c>
      <c r="I185" s="0" t="e">
        <f aca="false">#N/A</f>
        <v>#N/A</v>
      </c>
      <c r="J185" s="0" t="e">
        <f aca="false">#N/A</f>
        <v>#N/A</v>
      </c>
      <c r="K185" s="0" t="e">
        <f aca="false">#N/A</f>
        <v>#N/A</v>
      </c>
      <c r="L185" s="0" t="e">
        <f aca="false">#N/A</f>
        <v>#N/A</v>
      </c>
      <c r="M185" s="0" t="s">
        <v>26</v>
      </c>
      <c r="N185" s="0" t="s">
        <v>26</v>
      </c>
      <c r="O185" s="0" t="s">
        <v>26</v>
      </c>
      <c r="P185" s="0" t="s">
        <v>26</v>
      </c>
      <c r="Q185" s="1" t="b">
        <f aca="false">FALSE()</f>
        <v>0</v>
      </c>
      <c r="R185" s="0" t="e">
        <f aca="false">#N/A</f>
        <v>#N/A</v>
      </c>
      <c r="S185" s="0" t="e">
        <f aca="false">#N/A</f>
        <v>#N/A</v>
      </c>
      <c r="T185" s="2" t="s">
        <v>988</v>
      </c>
    </row>
    <row r="186" customFormat="false" ht="15.85" hidden="false" customHeight="true" outlineLevel="0" collapsed="false">
      <c r="A186" s="0" t="s">
        <v>989</v>
      </c>
      <c r="B186" s="0" t="e">
        <f aca="false">#N/A</f>
        <v>#N/A</v>
      </c>
      <c r="C186" s="0" t="s">
        <v>990</v>
      </c>
      <c r="D186" s="0" t="s">
        <v>991</v>
      </c>
      <c r="E186" s="0" t="e">
        <f aca="false">#N/A</f>
        <v>#N/A</v>
      </c>
      <c r="F186" s="0" t="s">
        <v>25</v>
      </c>
      <c r="G186" s="0" t="s">
        <v>990</v>
      </c>
      <c r="H186" s="0" t="e">
        <f aca="false">#N/A</f>
        <v>#N/A</v>
      </c>
      <c r="I186" s="0" t="e">
        <f aca="false">#N/A</f>
        <v>#N/A</v>
      </c>
      <c r="J186" s="0" t="e">
        <f aca="false">#N/A</f>
        <v>#N/A</v>
      </c>
      <c r="K186" s="0" t="e">
        <f aca="false">#N/A</f>
        <v>#N/A</v>
      </c>
      <c r="L186" s="0" t="e">
        <f aca="false">#N/A</f>
        <v>#N/A</v>
      </c>
      <c r="M186" s="0" t="s">
        <v>26</v>
      </c>
      <c r="N186" s="0" t="s">
        <v>26</v>
      </c>
      <c r="O186" s="0" t="s">
        <v>26</v>
      </c>
      <c r="P186" s="0" t="s">
        <v>26</v>
      </c>
      <c r="Q186" s="1" t="b">
        <f aca="false">FALSE()</f>
        <v>0</v>
      </c>
      <c r="R186" s="0" t="e">
        <f aca="false">#N/A</f>
        <v>#N/A</v>
      </c>
      <c r="S186" s="0" t="e">
        <f aca="false">#N/A</f>
        <v>#N/A</v>
      </c>
      <c r="T186" s="2" t="s">
        <v>992</v>
      </c>
    </row>
    <row r="187" customFormat="false" ht="15.85" hidden="false" customHeight="true" outlineLevel="0" collapsed="false">
      <c r="A187" s="0" t="s">
        <v>993</v>
      </c>
      <c r="B187" s="0" t="e">
        <f aca="false">#N/A</f>
        <v>#N/A</v>
      </c>
      <c r="C187" s="0" t="s">
        <v>994</v>
      </c>
      <c r="D187" s="0" t="s">
        <v>995</v>
      </c>
      <c r="E187" s="0" t="e">
        <f aca="false">#N/A</f>
        <v>#N/A</v>
      </c>
      <c r="F187" s="0" t="s">
        <v>25</v>
      </c>
      <c r="G187" s="0" t="s">
        <v>994</v>
      </c>
      <c r="H187" s="0" t="e">
        <f aca="false">#N/A</f>
        <v>#N/A</v>
      </c>
      <c r="I187" s="0" t="e">
        <f aca="false">#N/A</f>
        <v>#N/A</v>
      </c>
      <c r="J187" s="0" t="e">
        <f aca="false">#N/A</f>
        <v>#N/A</v>
      </c>
      <c r="K187" s="0" t="e">
        <f aca="false">#N/A</f>
        <v>#N/A</v>
      </c>
      <c r="L187" s="0" t="e">
        <f aca="false">#N/A</f>
        <v>#N/A</v>
      </c>
      <c r="M187" s="0" t="s">
        <v>26</v>
      </c>
      <c r="N187" s="0" t="s">
        <v>26</v>
      </c>
      <c r="O187" s="0" t="s">
        <v>26</v>
      </c>
      <c r="P187" s="0" t="s">
        <v>26</v>
      </c>
      <c r="Q187" s="1" t="b">
        <f aca="false">FALSE()</f>
        <v>0</v>
      </c>
      <c r="R187" s="0" t="e">
        <f aca="false">#N/A</f>
        <v>#N/A</v>
      </c>
      <c r="S187" s="0" t="e">
        <f aca="false">#N/A</f>
        <v>#N/A</v>
      </c>
      <c r="T187" s="2" t="s">
        <v>996</v>
      </c>
    </row>
    <row r="188" customFormat="false" ht="15.85" hidden="false" customHeight="true" outlineLevel="0" collapsed="false">
      <c r="A188" s="0" t="s">
        <v>997</v>
      </c>
      <c r="B188" s="0" t="e">
        <f aca="false">#N/A</f>
        <v>#N/A</v>
      </c>
      <c r="C188" s="0" t="s">
        <v>998</v>
      </c>
      <c r="D188" s="0" t="s">
        <v>999</v>
      </c>
      <c r="E188" s="0" t="e">
        <f aca="false">#N/A</f>
        <v>#N/A</v>
      </c>
      <c r="F188" s="0" t="s">
        <v>25</v>
      </c>
      <c r="G188" s="0" t="s">
        <v>998</v>
      </c>
      <c r="H188" s="0" t="e">
        <f aca="false">#N/A</f>
        <v>#N/A</v>
      </c>
      <c r="I188" s="0" t="e">
        <f aca="false">#N/A</f>
        <v>#N/A</v>
      </c>
      <c r="J188" s="0" t="e">
        <f aca="false">#N/A</f>
        <v>#N/A</v>
      </c>
      <c r="K188" s="0" t="e">
        <f aca="false">#N/A</f>
        <v>#N/A</v>
      </c>
      <c r="L188" s="0" t="e">
        <f aca="false">#N/A</f>
        <v>#N/A</v>
      </c>
      <c r="M188" s="0" t="s">
        <v>26</v>
      </c>
      <c r="N188" s="0" t="s">
        <v>26</v>
      </c>
      <c r="O188" s="0" t="s">
        <v>26</v>
      </c>
      <c r="P188" s="0" t="s">
        <v>26</v>
      </c>
      <c r="Q188" s="1" t="b">
        <f aca="false">FALSE()</f>
        <v>0</v>
      </c>
      <c r="R188" s="0" t="e">
        <f aca="false">#N/A</f>
        <v>#N/A</v>
      </c>
      <c r="S188" s="0" t="e">
        <f aca="false">#N/A</f>
        <v>#N/A</v>
      </c>
      <c r="T188" s="2" t="s">
        <v>1000</v>
      </c>
    </row>
    <row r="189" customFormat="false" ht="15.85" hidden="false" customHeight="true" outlineLevel="0" collapsed="false">
      <c r="A189" s="0" t="s">
        <v>1001</v>
      </c>
      <c r="B189" s="0" t="e">
        <f aca="false">#N/A</f>
        <v>#N/A</v>
      </c>
      <c r="C189" s="0" t="s">
        <v>1002</v>
      </c>
      <c r="D189" s="0" t="s">
        <v>1003</v>
      </c>
      <c r="E189" s="0" t="e">
        <f aca="false">#N/A</f>
        <v>#N/A</v>
      </c>
      <c r="F189" s="0" t="s">
        <v>25</v>
      </c>
      <c r="G189" s="0" t="s">
        <v>1002</v>
      </c>
      <c r="H189" s="0" t="e">
        <f aca="false">#N/A</f>
        <v>#N/A</v>
      </c>
      <c r="I189" s="0" t="e">
        <f aca="false">#N/A</f>
        <v>#N/A</v>
      </c>
      <c r="J189" s="0" t="e">
        <f aca="false">#N/A</f>
        <v>#N/A</v>
      </c>
      <c r="K189" s="0" t="e">
        <f aca="false">#N/A</f>
        <v>#N/A</v>
      </c>
      <c r="L189" s="0" t="e">
        <f aca="false">#N/A</f>
        <v>#N/A</v>
      </c>
      <c r="M189" s="0" t="s">
        <v>26</v>
      </c>
      <c r="N189" s="0" t="s">
        <v>26</v>
      </c>
      <c r="O189" s="0" t="s">
        <v>26</v>
      </c>
      <c r="P189" s="0" t="s">
        <v>26</v>
      </c>
      <c r="Q189" s="1" t="b">
        <f aca="false">FALSE()</f>
        <v>0</v>
      </c>
      <c r="R189" s="0" t="e">
        <f aca="false">#N/A</f>
        <v>#N/A</v>
      </c>
      <c r="S189" s="0" t="e">
        <f aca="false">#N/A</f>
        <v>#N/A</v>
      </c>
      <c r="T189" s="2" t="s">
        <v>1004</v>
      </c>
    </row>
    <row r="190" customFormat="false" ht="15.85" hidden="false" customHeight="true" outlineLevel="0" collapsed="false">
      <c r="A190" s="0" t="s">
        <v>1005</v>
      </c>
      <c r="B190" s="0" t="e">
        <f aca="false">#N/A</f>
        <v>#N/A</v>
      </c>
      <c r="C190" s="0" t="s">
        <v>1006</v>
      </c>
      <c r="D190" s="0" t="s">
        <v>1007</v>
      </c>
      <c r="E190" s="0" t="e">
        <f aca="false">#N/A</f>
        <v>#N/A</v>
      </c>
      <c r="F190" s="0" t="s">
        <v>25</v>
      </c>
      <c r="G190" s="0" t="s">
        <v>1006</v>
      </c>
      <c r="H190" s="0" t="e">
        <f aca="false">#N/A</f>
        <v>#N/A</v>
      </c>
      <c r="I190" s="0" t="e">
        <f aca="false">#N/A</f>
        <v>#N/A</v>
      </c>
      <c r="J190" s="0" t="e">
        <f aca="false">#N/A</f>
        <v>#N/A</v>
      </c>
      <c r="K190" s="0" t="e">
        <f aca="false">#N/A</f>
        <v>#N/A</v>
      </c>
      <c r="L190" s="0" t="e">
        <f aca="false">#N/A</f>
        <v>#N/A</v>
      </c>
      <c r="M190" s="0" t="s">
        <v>26</v>
      </c>
      <c r="N190" s="0" t="s">
        <v>26</v>
      </c>
      <c r="O190" s="0" t="s">
        <v>26</v>
      </c>
      <c r="P190" s="0" t="s">
        <v>26</v>
      </c>
      <c r="Q190" s="1" t="b">
        <f aca="false">FALSE()</f>
        <v>0</v>
      </c>
      <c r="R190" s="0" t="e">
        <f aca="false">#N/A</f>
        <v>#N/A</v>
      </c>
      <c r="S190" s="0" t="e">
        <f aca="false">#N/A</f>
        <v>#N/A</v>
      </c>
      <c r="T190" s="2" t="s">
        <v>1008</v>
      </c>
    </row>
    <row r="191" customFormat="false" ht="15.85" hidden="false" customHeight="true" outlineLevel="0" collapsed="false">
      <c r="A191" s="0" t="s">
        <v>1009</v>
      </c>
      <c r="B191" s="0" t="e">
        <f aca="false">#N/A</f>
        <v>#N/A</v>
      </c>
      <c r="C191" s="0" t="s">
        <v>1010</v>
      </c>
      <c r="D191" s="0" t="s">
        <v>1011</v>
      </c>
      <c r="E191" s="0" t="e">
        <f aca="false">#N/A</f>
        <v>#N/A</v>
      </c>
      <c r="F191" s="0" t="s">
        <v>25</v>
      </c>
      <c r="G191" s="0" t="s">
        <v>1010</v>
      </c>
      <c r="H191" s="0" t="e">
        <f aca="false">#N/A</f>
        <v>#N/A</v>
      </c>
      <c r="I191" s="0" t="e">
        <f aca="false">#N/A</f>
        <v>#N/A</v>
      </c>
      <c r="J191" s="0" t="e">
        <f aca="false">#N/A</f>
        <v>#N/A</v>
      </c>
      <c r="K191" s="0" t="e">
        <f aca="false">#N/A</f>
        <v>#N/A</v>
      </c>
      <c r="L191" s="0" t="e">
        <f aca="false">#N/A</f>
        <v>#N/A</v>
      </c>
      <c r="M191" s="0" t="s">
        <v>26</v>
      </c>
      <c r="N191" s="0" t="s">
        <v>26</v>
      </c>
      <c r="O191" s="0" t="s">
        <v>26</v>
      </c>
      <c r="P191" s="0" t="s">
        <v>26</v>
      </c>
      <c r="Q191" s="1" t="b">
        <f aca="false">FALSE()</f>
        <v>0</v>
      </c>
      <c r="R191" s="0" t="e">
        <f aca="false">#N/A</f>
        <v>#N/A</v>
      </c>
      <c r="S191" s="0" t="e">
        <f aca="false">#N/A</f>
        <v>#N/A</v>
      </c>
      <c r="T191" s="2" t="s">
        <v>1012</v>
      </c>
    </row>
    <row r="192" customFormat="false" ht="15.85" hidden="false" customHeight="true" outlineLevel="0" collapsed="false">
      <c r="A192" s="0" t="s">
        <v>1013</v>
      </c>
      <c r="B192" s="0" t="e">
        <f aca="false">#N/A</f>
        <v>#N/A</v>
      </c>
      <c r="C192" s="0" t="s">
        <v>1014</v>
      </c>
      <c r="D192" s="0" t="s">
        <v>1015</v>
      </c>
      <c r="E192" s="0" t="e">
        <f aca="false">#N/A</f>
        <v>#N/A</v>
      </c>
      <c r="F192" s="0" t="s">
        <v>25</v>
      </c>
      <c r="G192" s="0" t="s">
        <v>1014</v>
      </c>
      <c r="H192" s="0" t="e">
        <f aca="false">#N/A</f>
        <v>#N/A</v>
      </c>
      <c r="I192" s="0" t="e">
        <f aca="false">#N/A</f>
        <v>#N/A</v>
      </c>
      <c r="J192" s="0" t="e">
        <f aca="false">#N/A</f>
        <v>#N/A</v>
      </c>
      <c r="K192" s="0" t="e">
        <f aca="false">#N/A</f>
        <v>#N/A</v>
      </c>
      <c r="L192" s="0" t="e">
        <f aca="false">#N/A</f>
        <v>#N/A</v>
      </c>
      <c r="M192" s="0" t="s">
        <v>26</v>
      </c>
      <c r="N192" s="0" t="s">
        <v>26</v>
      </c>
      <c r="O192" s="0" t="s">
        <v>26</v>
      </c>
      <c r="P192" s="0" t="s">
        <v>26</v>
      </c>
      <c r="Q192" s="1" t="b">
        <f aca="false">FALSE()</f>
        <v>0</v>
      </c>
      <c r="R192" s="0" t="e">
        <f aca="false">#N/A</f>
        <v>#N/A</v>
      </c>
      <c r="S192" s="0" t="e">
        <f aca="false">#N/A</f>
        <v>#N/A</v>
      </c>
      <c r="T192" s="2" t="s">
        <v>1016</v>
      </c>
    </row>
    <row r="193" customFormat="false" ht="15.85" hidden="false" customHeight="true" outlineLevel="0" collapsed="false">
      <c r="A193" s="0" t="s">
        <v>1017</v>
      </c>
      <c r="B193" s="0" t="e">
        <f aca="false">#N/A</f>
        <v>#N/A</v>
      </c>
      <c r="C193" s="0" t="s">
        <v>1018</v>
      </c>
      <c r="D193" s="0" t="s">
        <v>1019</v>
      </c>
      <c r="E193" s="0" t="e">
        <f aca="false">#N/A</f>
        <v>#N/A</v>
      </c>
      <c r="F193" s="0" t="s">
        <v>25</v>
      </c>
      <c r="G193" s="0" t="s">
        <v>1018</v>
      </c>
      <c r="H193" s="0" t="e">
        <f aca="false">#N/A</f>
        <v>#N/A</v>
      </c>
      <c r="I193" s="0" t="e">
        <f aca="false">#N/A</f>
        <v>#N/A</v>
      </c>
      <c r="J193" s="0" t="e">
        <f aca="false">#N/A</f>
        <v>#N/A</v>
      </c>
      <c r="K193" s="0" t="e">
        <f aca="false">#N/A</f>
        <v>#N/A</v>
      </c>
      <c r="L193" s="0" t="e">
        <f aca="false">#N/A</f>
        <v>#N/A</v>
      </c>
      <c r="M193" s="0" t="s">
        <v>26</v>
      </c>
      <c r="N193" s="0" t="s">
        <v>26</v>
      </c>
      <c r="O193" s="0" t="s">
        <v>26</v>
      </c>
      <c r="P193" s="0" t="s">
        <v>26</v>
      </c>
      <c r="Q193" s="1" t="b">
        <f aca="false">FALSE()</f>
        <v>0</v>
      </c>
      <c r="R193" s="0" t="e">
        <f aca="false">#N/A</f>
        <v>#N/A</v>
      </c>
      <c r="S193" s="0" t="e">
        <f aca="false">#N/A</f>
        <v>#N/A</v>
      </c>
      <c r="T193" s="2" t="s">
        <v>1020</v>
      </c>
    </row>
    <row r="194" customFormat="false" ht="15.85" hidden="false" customHeight="true" outlineLevel="0" collapsed="false">
      <c r="A194" s="0" t="s">
        <v>1021</v>
      </c>
      <c r="B194" s="0" t="e">
        <f aca="false">#N/A</f>
        <v>#N/A</v>
      </c>
      <c r="C194" s="0" t="s">
        <v>1022</v>
      </c>
      <c r="D194" s="0" t="s">
        <v>1023</v>
      </c>
      <c r="E194" s="0" t="e">
        <f aca="false">#N/A</f>
        <v>#N/A</v>
      </c>
      <c r="F194" s="0" t="s">
        <v>25</v>
      </c>
      <c r="G194" s="0" t="s">
        <v>1022</v>
      </c>
      <c r="H194" s="0" t="e">
        <f aca="false">#N/A</f>
        <v>#N/A</v>
      </c>
      <c r="I194" s="0" t="e">
        <f aca="false">#N/A</f>
        <v>#N/A</v>
      </c>
      <c r="J194" s="0" t="e">
        <f aca="false">#N/A</f>
        <v>#N/A</v>
      </c>
      <c r="K194" s="0" t="e">
        <f aca="false">#N/A</f>
        <v>#N/A</v>
      </c>
      <c r="L194" s="0" t="e">
        <f aca="false">#N/A</f>
        <v>#N/A</v>
      </c>
      <c r="M194" s="0" t="s">
        <v>26</v>
      </c>
      <c r="N194" s="0" t="s">
        <v>26</v>
      </c>
      <c r="O194" s="0" t="s">
        <v>26</v>
      </c>
      <c r="P194" s="0" t="s">
        <v>26</v>
      </c>
      <c r="Q194" s="1" t="b">
        <f aca="false">FALSE()</f>
        <v>0</v>
      </c>
      <c r="R194" s="0" t="e">
        <f aca="false">#N/A</f>
        <v>#N/A</v>
      </c>
      <c r="S194" s="0" t="e">
        <f aca="false">#N/A</f>
        <v>#N/A</v>
      </c>
      <c r="T194" s="2" t="s">
        <v>1024</v>
      </c>
    </row>
    <row r="195" customFormat="false" ht="15.85" hidden="false" customHeight="true" outlineLevel="0" collapsed="false">
      <c r="A195" s="0" t="s">
        <v>1025</v>
      </c>
      <c r="B195" s="0" t="e">
        <f aca="false">#N/A</f>
        <v>#N/A</v>
      </c>
      <c r="C195" s="0" t="s">
        <v>1026</v>
      </c>
      <c r="D195" s="0" t="s">
        <v>1027</v>
      </c>
      <c r="E195" s="0" t="e">
        <f aca="false">#N/A</f>
        <v>#N/A</v>
      </c>
      <c r="F195" s="0" t="s">
        <v>25</v>
      </c>
      <c r="G195" s="0" t="s">
        <v>1026</v>
      </c>
      <c r="H195" s="0" t="e">
        <f aca="false">#N/A</f>
        <v>#N/A</v>
      </c>
      <c r="I195" s="0" t="e">
        <f aca="false">#N/A</f>
        <v>#N/A</v>
      </c>
      <c r="J195" s="0" t="e">
        <f aca="false">#N/A</f>
        <v>#N/A</v>
      </c>
      <c r="K195" s="0" t="e">
        <f aca="false">#N/A</f>
        <v>#N/A</v>
      </c>
      <c r="L195" s="0" t="e">
        <f aca="false">#N/A</f>
        <v>#N/A</v>
      </c>
      <c r="M195" s="0" t="s">
        <v>26</v>
      </c>
      <c r="N195" s="0" t="s">
        <v>26</v>
      </c>
      <c r="O195" s="0" t="s">
        <v>26</v>
      </c>
      <c r="P195" s="0" t="s">
        <v>26</v>
      </c>
      <c r="Q195" s="1" t="b">
        <f aca="false">FALSE()</f>
        <v>0</v>
      </c>
      <c r="R195" s="0" t="e">
        <f aca="false">#N/A</f>
        <v>#N/A</v>
      </c>
      <c r="S195" s="0" t="e">
        <f aca="false">#N/A</f>
        <v>#N/A</v>
      </c>
      <c r="T195" s="2" t="s">
        <v>1028</v>
      </c>
    </row>
    <row r="196" customFormat="false" ht="15.85" hidden="false" customHeight="true" outlineLevel="0" collapsed="false">
      <c r="A196" s="0" t="s">
        <v>1029</v>
      </c>
      <c r="B196" s="0" t="e">
        <f aca="false">#N/A</f>
        <v>#N/A</v>
      </c>
      <c r="C196" s="0" t="s">
        <v>1030</v>
      </c>
      <c r="D196" s="0" t="s">
        <v>1031</v>
      </c>
      <c r="E196" s="0" t="e">
        <f aca="false">#N/A</f>
        <v>#N/A</v>
      </c>
      <c r="F196" s="0" t="s">
        <v>25</v>
      </c>
      <c r="G196" s="0" t="s">
        <v>1030</v>
      </c>
      <c r="H196" s="0" t="e">
        <f aca="false">#N/A</f>
        <v>#N/A</v>
      </c>
      <c r="I196" s="0" t="e">
        <f aca="false">#N/A</f>
        <v>#N/A</v>
      </c>
      <c r="J196" s="0" t="e">
        <f aca="false">#N/A</f>
        <v>#N/A</v>
      </c>
      <c r="K196" s="0" t="e">
        <f aca="false">#N/A</f>
        <v>#N/A</v>
      </c>
      <c r="L196" s="0" t="e">
        <f aca="false">#N/A</f>
        <v>#N/A</v>
      </c>
      <c r="M196" s="0" t="s">
        <v>26</v>
      </c>
      <c r="N196" s="0" t="s">
        <v>26</v>
      </c>
      <c r="O196" s="0" t="s">
        <v>26</v>
      </c>
      <c r="P196" s="0" t="s">
        <v>26</v>
      </c>
      <c r="Q196" s="1" t="b">
        <f aca="false">FALSE()</f>
        <v>0</v>
      </c>
      <c r="R196" s="0" t="e">
        <f aca="false">#N/A</f>
        <v>#N/A</v>
      </c>
      <c r="S196" s="0" t="e">
        <f aca="false">#N/A</f>
        <v>#N/A</v>
      </c>
      <c r="T196" s="2" t="s">
        <v>1032</v>
      </c>
    </row>
    <row r="197" customFormat="false" ht="15.85" hidden="false" customHeight="true" outlineLevel="0" collapsed="false">
      <c r="A197" s="0" t="s">
        <v>1033</v>
      </c>
      <c r="B197" s="0" t="e">
        <f aca="false">#N/A</f>
        <v>#N/A</v>
      </c>
      <c r="C197" s="0" t="s">
        <v>1034</v>
      </c>
      <c r="D197" s="0" t="s">
        <v>1035</v>
      </c>
      <c r="E197" s="0" t="e">
        <f aca="false">#N/A</f>
        <v>#N/A</v>
      </c>
      <c r="F197" s="0" t="s">
        <v>25</v>
      </c>
      <c r="G197" s="0" t="s">
        <v>1034</v>
      </c>
      <c r="H197" s="0" t="e">
        <f aca="false">#N/A</f>
        <v>#N/A</v>
      </c>
      <c r="I197" s="0" t="e">
        <f aca="false">#N/A</f>
        <v>#N/A</v>
      </c>
      <c r="J197" s="0" t="e">
        <f aca="false">#N/A</f>
        <v>#N/A</v>
      </c>
      <c r="K197" s="0" t="e">
        <f aca="false">#N/A</f>
        <v>#N/A</v>
      </c>
      <c r="L197" s="0" t="e">
        <f aca="false">#N/A</f>
        <v>#N/A</v>
      </c>
      <c r="M197" s="0" t="s">
        <v>26</v>
      </c>
      <c r="N197" s="0" t="s">
        <v>26</v>
      </c>
      <c r="O197" s="0" t="s">
        <v>26</v>
      </c>
      <c r="P197" s="0" t="s">
        <v>26</v>
      </c>
      <c r="Q197" s="1" t="b">
        <f aca="false">FALSE()</f>
        <v>0</v>
      </c>
      <c r="R197" s="0" t="e">
        <f aca="false">#N/A</f>
        <v>#N/A</v>
      </c>
      <c r="S197" s="0" t="e">
        <f aca="false">#N/A</f>
        <v>#N/A</v>
      </c>
      <c r="T197" s="2" t="s">
        <v>1036</v>
      </c>
    </row>
    <row r="198" customFormat="false" ht="15.85" hidden="false" customHeight="true" outlineLevel="0" collapsed="false">
      <c r="A198" s="0" t="s">
        <v>1037</v>
      </c>
      <c r="B198" s="0" t="e">
        <f aca="false">#N/A</f>
        <v>#N/A</v>
      </c>
      <c r="C198" s="0" t="s">
        <v>1038</v>
      </c>
      <c r="D198" s="0" t="s">
        <v>1039</v>
      </c>
      <c r="E198" s="0" t="e">
        <f aca="false">#N/A</f>
        <v>#N/A</v>
      </c>
      <c r="F198" s="0" t="s">
        <v>25</v>
      </c>
      <c r="G198" s="0" t="s">
        <v>1038</v>
      </c>
      <c r="H198" s="0" t="e">
        <f aca="false">#N/A</f>
        <v>#N/A</v>
      </c>
      <c r="I198" s="0" t="e">
        <f aca="false">#N/A</f>
        <v>#N/A</v>
      </c>
      <c r="J198" s="0" t="e">
        <f aca="false">#N/A</f>
        <v>#N/A</v>
      </c>
      <c r="K198" s="0" t="e">
        <f aca="false">#N/A</f>
        <v>#N/A</v>
      </c>
      <c r="L198" s="0" t="e">
        <f aca="false">#N/A</f>
        <v>#N/A</v>
      </c>
      <c r="M198" s="0" t="s">
        <v>26</v>
      </c>
      <c r="N198" s="0" t="s">
        <v>26</v>
      </c>
      <c r="O198" s="0" t="s">
        <v>26</v>
      </c>
      <c r="P198" s="0" t="s">
        <v>26</v>
      </c>
      <c r="Q198" s="1" t="b">
        <f aca="false">FALSE()</f>
        <v>0</v>
      </c>
      <c r="R198" s="0" t="e">
        <f aca="false">#N/A</f>
        <v>#N/A</v>
      </c>
      <c r="S198" s="0" t="e">
        <f aca="false">#N/A</f>
        <v>#N/A</v>
      </c>
      <c r="T198" s="2" t="s">
        <v>1040</v>
      </c>
    </row>
    <row r="199" customFormat="false" ht="15.85" hidden="false" customHeight="true" outlineLevel="0" collapsed="false">
      <c r="A199" s="0" t="s">
        <v>1041</v>
      </c>
      <c r="B199" s="0" t="e">
        <f aca="false">#N/A</f>
        <v>#N/A</v>
      </c>
      <c r="C199" s="0" t="s">
        <v>1042</v>
      </c>
      <c r="D199" s="0" t="s">
        <v>1043</v>
      </c>
      <c r="E199" s="0" t="e">
        <f aca="false">#N/A</f>
        <v>#N/A</v>
      </c>
      <c r="F199" s="0" t="s">
        <v>25</v>
      </c>
      <c r="G199" s="0" t="s">
        <v>1042</v>
      </c>
      <c r="H199" s="0" t="e">
        <f aca="false">#N/A</f>
        <v>#N/A</v>
      </c>
      <c r="I199" s="0" t="e">
        <f aca="false">#N/A</f>
        <v>#N/A</v>
      </c>
      <c r="J199" s="0" t="e">
        <f aca="false">#N/A</f>
        <v>#N/A</v>
      </c>
      <c r="K199" s="0" t="e">
        <f aca="false">#N/A</f>
        <v>#N/A</v>
      </c>
      <c r="L199" s="0" t="e">
        <f aca="false">#N/A</f>
        <v>#N/A</v>
      </c>
      <c r="M199" s="0" t="s">
        <v>26</v>
      </c>
      <c r="N199" s="0" t="s">
        <v>26</v>
      </c>
      <c r="O199" s="0" t="s">
        <v>26</v>
      </c>
      <c r="P199" s="0" t="s">
        <v>26</v>
      </c>
      <c r="Q199" s="1" t="b">
        <f aca="false">FALSE()</f>
        <v>0</v>
      </c>
      <c r="R199" s="0" t="e">
        <f aca="false">#N/A</f>
        <v>#N/A</v>
      </c>
      <c r="S199" s="0" t="e">
        <f aca="false">#N/A</f>
        <v>#N/A</v>
      </c>
      <c r="T199" s="2" t="s">
        <v>1044</v>
      </c>
    </row>
    <row r="200" customFormat="false" ht="15.85" hidden="false" customHeight="true" outlineLevel="0" collapsed="false">
      <c r="A200" s="0" t="s">
        <v>1045</v>
      </c>
      <c r="B200" s="0" t="e">
        <f aca="false">#N/A</f>
        <v>#N/A</v>
      </c>
      <c r="C200" s="0" t="s">
        <v>1046</v>
      </c>
      <c r="D200" s="0" t="s">
        <v>1047</v>
      </c>
      <c r="E200" s="0" t="e">
        <f aca="false">#N/A</f>
        <v>#N/A</v>
      </c>
      <c r="F200" s="0" t="s">
        <v>25</v>
      </c>
      <c r="G200" s="0" t="s">
        <v>1046</v>
      </c>
      <c r="H200" s="0" t="e">
        <f aca="false">#N/A</f>
        <v>#N/A</v>
      </c>
      <c r="I200" s="0" t="e">
        <f aca="false">#N/A</f>
        <v>#N/A</v>
      </c>
      <c r="J200" s="0" t="e">
        <f aca="false">#N/A</f>
        <v>#N/A</v>
      </c>
      <c r="K200" s="0" t="e">
        <f aca="false">#N/A</f>
        <v>#N/A</v>
      </c>
      <c r="L200" s="0" t="e">
        <f aca="false">#N/A</f>
        <v>#N/A</v>
      </c>
      <c r="M200" s="0" t="s">
        <v>26</v>
      </c>
      <c r="N200" s="0" t="s">
        <v>26</v>
      </c>
      <c r="O200" s="0" t="s">
        <v>26</v>
      </c>
      <c r="P200" s="0" t="s">
        <v>26</v>
      </c>
      <c r="Q200" s="1" t="b">
        <f aca="false">FALSE()</f>
        <v>0</v>
      </c>
      <c r="R200" s="0" t="e">
        <f aca="false">#N/A</f>
        <v>#N/A</v>
      </c>
      <c r="S200" s="0" t="e">
        <f aca="false">#N/A</f>
        <v>#N/A</v>
      </c>
      <c r="T200" s="2" t="s">
        <v>1048</v>
      </c>
    </row>
    <row r="201" customFormat="false" ht="15.85" hidden="false" customHeight="true" outlineLevel="0" collapsed="false">
      <c r="A201" s="0" t="s">
        <v>1049</v>
      </c>
      <c r="B201" s="0" t="e">
        <f aca="false">#N/A</f>
        <v>#N/A</v>
      </c>
      <c r="C201" s="0" t="s">
        <v>1050</v>
      </c>
      <c r="D201" s="0" t="s">
        <v>1051</v>
      </c>
      <c r="E201" s="0" t="e">
        <f aca="false">#N/A</f>
        <v>#N/A</v>
      </c>
      <c r="F201" s="0" t="s">
        <v>25</v>
      </c>
      <c r="G201" s="0" t="s">
        <v>1050</v>
      </c>
      <c r="H201" s="0" t="e">
        <f aca="false">#N/A</f>
        <v>#N/A</v>
      </c>
      <c r="I201" s="0" t="e">
        <f aca="false">#N/A</f>
        <v>#N/A</v>
      </c>
      <c r="J201" s="0" t="e">
        <f aca="false">#N/A</f>
        <v>#N/A</v>
      </c>
      <c r="K201" s="0" t="e">
        <f aca="false">#N/A</f>
        <v>#N/A</v>
      </c>
      <c r="L201" s="0" t="e">
        <f aca="false">#N/A</f>
        <v>#N/A</v>
      </c>
      <c r="M201" s="0" t="s">
        <v>26</v>
      </c>
      <c r="N201" s="0" t="s">
        <v>26</v>
      </c>
      <c r="O201" s="0" t="s">
        <v>26</v>
      </c>
      <c r="P201" s="0" t="s">
        <v>26</v>
      </c>
      <c r="Q201" s="1" t="b">
        <f aca="false">FALSE()</f>
        <v>0</v>
      </c>
      <c r="R201" s="0" t="e">
        <f aca="false">#N/A</f>
        <v>#N/A</v>
      </c>
      <c r="S201" s="0" t="e">
        <f aca="false">#N/A</f>
        <v>#N/A</v>
      </c>
      <c r="T201" s="2" t="s">
        <v>1052</v>
      </c>
    </row>
    <row r="202" customFormat="false" ht="15.85" hidden="false" customHeight="true" outlineLevel="0" collapsed="false">
      <c r="A202" s="0" t="s">
        <v>1053</v>
      </c>
      <c r="B202" s="0" t="e">
        <f aca="false">#N/A</f>
        <v>#N/A</v>
      </c>
      <c r="C202" s="0" t="s">
        <v>1054</v>
      </c>
      <c r="D202" s="0" t="s">
        <v>1055</v>
      </c>
      <c r="E202" s="0" t="e">
        <f aca="false">#N/A</f>
        <v>#N/A</v>
      </c>
      <c r="F202" s="0" t="s">
        <v>25</v>
      </c>
      <c r="G202" s="0" t="s">
        <v>1054</v>
      </c>
      <c r="H202" s="0" t="e">
        <f aca="false">#N/A</f>
        <v>#N/A</v>
      </c>
      <c r="I202" s="0" t="e">
        <f aca="false">#N/A</f>
        <v>#N/A</v>
      </c>
      <c r="J202" s="0" t="e">
        <f aca="false">#N/A</f>
        <v>#N/A</v>
      </c>
      <c r="K202" s="0" t="e">
        <f aca="false">#N/A</f>
        <v>#N/A</v>
      </c>
      <c r="L202" s="0" t="e">
        <f aca="false">#N/A</f>
        <v>#N/A</v>
      </c>
      <c r="M202" s="0" t="s">
        <v>26</v>
      </c>
      <c r="N202" s="0" t="s">
        <v>26</v>
      </c>
      <c r="O202" s="0" t="s">
        <v>26</v>
      </c>
      <c r="P202" s="0" t="s">
        <v>26</v>
      </c>
      <c r="Q202" s="1" t="b">
        <f aca="false">FALSE()</f>
        <v>0</v>
      </c>
      <c r="R202" s="0" t="e">
        <f aca="false">#N/A</f>
        <v>#N/A</v>
      </c>
      <c r="S202" s="0" t="e">
        <f aca="false">#N/A</f>
        <v>#N/A</v>
      </c>
      <c r="T202" s="2" t="s">
        <v>1056</v>
      </c>
    </row>
    <row r="203" customFormat="false" ht="15.85" hidden="false" customHeight="true" outlineLevel="0" collapsed="false">
      <c r="A203" s="0" t="s">
        <v>1057</v>
      </c>
      <c r="B203" s="0" t="e">
        <f aca="false">#N/A</f>
        <v>#N/A</v>
      </c>
      <c r="C203" s="0" t="s">
        <v>1058</v>
      </c>
      <c r="D203" s="0" t="s">
        <v>1059</v>
      </c>
      <c r="E203" s="0" t="e">
        <f aca="false">#N/A</f>
        <v>#N/A</v>
      </c>
      <c r="F203" s="0" t="s">
        <v>25</v>
      </c>
      <c r="G203" s="0" t="s">
        <v>1058</v>
      </c>
      <c r="H203" s="0" t="e">
        <f aca="false">#N/A</f>
        <v>#N/A</v>
      </c>
      <c r="I203" s="0" t="e">
        <f aca="false">#N/A</f>
        <v>#N/A</v>
      </c>
      <c r="J203" s="0" t="e">
        <f aca="false">#N/A</f>
        <v>#N/A</v>
      </c>
      <c r="K203" s="0" t="e">
        <f aca="false">#N/A</f>
        <v>#N/A</v>
      </c>
      <c r="L203" s="0" t="e">
        <f aca="false">#N/A</f>
        <v>#N/A</v>
      </c>
      <c r="M203" s="0" t="s">
        <v>26</v>
      </c>
      <c r="N203" s="0" t="s">
        <v>26</v>
      </c>
      <c r="O203" s="0" t="s">
        <v>26</v>
      </c>
      <c r="P203" s="0" t="s">
        <v>26</v>
      </c>
      <c r="Q203" s="1" t="b">
        <f aca="false">FALSE()</f>
        <v>0</v>
      </c>
      <c r="R203" s="0" t="e">
        <f aca="false">#N/A</f>
        <v>#N/A</v>
      </c>
      <c r="S203" s="0" t="e">
        <f aca="false">#N/A</f>
        <v>#N/A</v>
      </c>
      <c r="T203" s="2" t="s">
        <v>1060</v>
      </c>
    </row>
    <row r="204" customFormat="false" ht="15.85" hidden="false" customHeight="true" outlineLevel="0" collapsed="false">
      <c r="A204" s="0" t="s">
        <v>1061</v>
      </c>
      <c r="B204" s="0" t="e">
        <f aca="false">#N/A</f>
        <v>#N/A</v>
      </c>
      <c r="C204" s="0" t="s">
        <v>1062</v>
      </c>
      <c r="D204" s="0" t="s">
        <v>1063</v>
      </c>
      <c r="E204" s="0" t="e">
        <f aca="false">#N/A</f>
        <v>#N/A</v>
      </c>
      <c r="F204" s="0" t="s">
        <v>25</v>
      </c>
      <c r="G204" s="0" t="s">
        <v>1062</v>
      </c>
      <c r="H204" s="0" t="e">
        <f aca="false">#N/A</f>
        <v>#N/A</v>
      </c>
      <c r="I204" s="0" t="e">
        <f aca="false">#N/A</f>
        <v>#N/A</v>
      </c>
      <c r="J204" s="0" t="e">
        <f aca="false">#N/A</f>
        <v>#N/A</v>
      </c>
      <c r="K204" s="0" t="e">
        <f aca="false">#N/A</f>
        <v>#N/A</v>
      </c>
      <c r="L204" s="0" t="e">
        <f aca="false">#N/A</f>
        <v>#N/A</v>
      </c>
      <c r="M204" s="0" t="s">
        <v>26</v>
      </c>
      <c r="N204" s="0" t="s">
        <v>26</v>
      </c>
      <c r="O204" s="0" t="s">
        <v>26</v>
      </c>
      <c r="P204" s="0" t="s">
        <v>26</v>
      </c>
      <c r="Q204" s="1" t="b">
        <f aca="false">FALSE()</f>
        <v>0</v>
      </c>
      <c r="R204" s="0" t="e">
        <f aca="false">#N/A</f>
        <v>#N/A</v>
      </c>
      <c r="S204" s="0" t="e">
        <f aca="false">#N/A</f>
        <v>#N/A</v>
      </c>
      <c r="T204" s="2" t="s">
        <v>1064</v>
      </c>
    </row>
    <row r="205" customFormat="false" ht="15.85" hidden="false" customHeight="true" outlineLevel="0" collapsed="false">
      <c r="A205" s="0" t="s">
        <v>1065</v>
      </c>
      <c r="B205" s="0" t="e">
        <f aca="false">#N/A</f>
        <v>#N/A</v>
      </c>
      <c r="C205" s="0" t="s">
        <v>1066</v>
      </c>
      <c r="D205" s="0" t="s">
        <v>1067</v>
      </c>
      <c r="E205" s="0" t="e">
        <f aca="false">#N/A</f>
        <v>#N/A</v>
      </c>
      <c r="F205" s="0" t="s">
        <v>25</v>
      </c>
      <c r="G205" s="0" t="s">
        <v>1066</v>
      </c>
      <c r="H205" s="0" t="e">
        <f aca="false">#N/A</f>
        <v>#N/A</v>
      </c>
      <c r="I205" s="0" t="e">
        <f aca="false">#N/A</f>
        <v>#N/A</v>
      </c>
      <c r="J205" s="0" t="e">
        <f aca="false">#N/A</f>
        <v>#N/A</v>
      </c>
      <c r="K205" s="0" t="e">
        <f aca="false">#N/A</f>
        <v>#N/A</v>
      </c>
      <c r="L205" s="0" t="e">
        <f aca="false">#N/A</f>
        <v>#N/A</v>
      </c>
      <c r="M205" s="0" t="s">
        <v>26</v>
      </c>
      <c r="N205" s="0" t="s">
        <v>26</v>
      </c>
      <c r="O205" s="0" t="s">
        <v>26</v>
      </c>
      <c r="P205" s="0" t="s">
        <v>26</v>
      </c>
      <c r="Q205" s="1" t="b">
        <f aca="false">FALSE()</f>
        <v>0</v>
      </c>
      <c r="R205" s="0" t="e">
        <f aca="false">#N/A</f>
        <v>#N/A</v>
      </c>
      <c r="S205" s="0" t="e">
        <f aca="false">#N/A</f>
        <v>#N/A</v>
      </c>
      <c r="T205" s="2" t="s">
        <v>1068</v>
      </c>
    </row>
    <row r="206" customFormat="false" ht="15.85" hidden="false" customHeight="true" outlineLevel="0" collapsed="false">
      <c r="A206" s="0" t="s">
        <v>1069</v>
      </c>
      <c r="B206" s="0" t="e">
        <f aca="false">#N/A</f>
        <v>#N/A</v>
      </c>
      <c r="C206" s="0" t="s">
        <v>1070</v>
      </c>
      <c r="D206" s="0" t="s">
        <v>1071</v>
      </c>
      <c r="E206" s="0" t="e">
        <f aca="false">#N/A</f>
        <v>#N/A</v>
      </c>
      <c r="F206" s="0" t="s">
        <v>25</v>
      </c>
      <c r="G206" s="0" t="s">
        <v>1070</v>
      </c>
      <c r="H206" s="0" t="e">
        <f aca="false">#N/A</f>
        <v>#N/A</v>
      </c>
      <c r="I206" s="0" t="e">
        <f aca="false">#N/A</f>
        <v>#N/A</v>
      </c>
      <c r="J206" s="0" t="e">
        <f aca="false">#N/A</f>
        <v>#N/A</v>
      </c>
      <c r="K206" s="0" t="e">
        <f aca="false">#N/A</f>
        <v>#N/A</v>
      </c>
      <c r="L206" s="0" t="e">
        <f aca="false">#N/A</f>
        <v>#N/A</v>
      </c>
      <c r="M206" s="0" t="s">
        <v>26</v>
      </c>
      <c r="N206" s="0" t="s">
        <v>26</v>
      </c>
      <c r="O206" s="0" t="s">
        <v>26</v>
      </c>
      <c r="P206" s="0" t="s">
        <v>26</v>
      </c>
      <c r="Q206" s="1" t="b">
        <f aca="false">FALSE()</f>
        <v>0</v>
      </c>
      <c r="R206" s="0" t="e">
        <f aca="false">#N/A</f>
        <v>#N/A</v>
      </c>
      <c r="S206" s="0" t="e">
        <f aca="false">#N/A</f>
        <v>#N/A</v>
      </c>
      <c r="T206" s="2" t="s">
        <v>1072</v>
      </c>
    </row>
    <row r="207" customFormat="false" ht="15.85" hidden="false" customHeight="true" outlineLevel="0" collapsed="false">
      <c r="A207" s="0" t="s">
        <v>1073</v>
      </c>
      <c r="B207" s="0" t="e">
        <f aca="false">#N/A</f>
        <v>#N/A</v>
      </c>
      <c r="C207" s="0" t="s">
        <v>1074</v>
      </c>
      <c r="D207" s="0" t="s">
        <v>1075</v>
      </c>
      <c r="E207" s="0" t="e">
        <f aca="false">#N/A</f>
        <v>#N/A</v>
      </c>
      <c r="F207" s="0" t="s">
        <v>25</v>
      </c>
      <c r="G207" s="0" t="s">
        <v>1074</v>
      </c>
      <c r="H207" s="0" t="e">
        <f aca="false">#N/A</f>
        <v>#N/A</v>
      </c>
      <c r="I207" s="0" t="e">
        <f aca="false">#N/A</f>
        <v>#N/A</v>
      </c>
      <c r="J207" s="0" t="e">
        <f aca="false">#N/A</f>
        <v>#N/A</v>
      </c>
      <c r="K207" s="0" t="e">
        <f aca="false">#N/A</f>
        <v>#N/A</v>
      </c>
      <c r="L207" s="0" t="e">
        <f aca="false">#N/A</f>
        <v>#N/A</v>
      </c>
      <c r="M207" s="0" t="s">
        <v>26</v>
      </c>
      <c r="N207" s="0" t="s">
        <v>26</v>
      </c>
      <c r="O207" s="0" t="s">
        <v>26</v>
      </c>
      <c r="P207" s="0" t="s">
        <v>26</v>
      </c>
      <c r="Q207" s="1" t="b">
        <f aca="false">FALSE()</f>
        <v>0</v>
      </c>
      <c r="R207" s="0" t="e">
        <f aca="false">#N/A</f>
        <v>#N/A</v>
      </c>
      <c r="S207" s="0" t="e">
        <f aca="false">#N/A</f>
        <v>#N/A</v>
      </c>
      <c r="T207" s="2" t="s">
        <v>1076</v>
      </c>
    </row>
    <row r="208" customFormat="false" ht="15.85" hidden="false" customHeight="true" outlineLevel="0" collapsed="false">
      <c r="A208" s="0" t="s">
        <v>1077</v>
      </c>
      <c r="B208" s="0" t="e">
        <f aca="false">#N/A</f>
        <v>#N/A</v>
      </c>
      <c r="C208" s="0" t="s">
        <v>1078</v>
      </c>
      <c r="D208" s="0" t="s">
        <v>1079</v>
      </c>
      <c r="E208" s="0" t="e">
        <f aca="false">#N/A</f>
        <v>#N/A</v>
      </c>
      <c r="F208" s="0" t="s">
        <v>25</v>
      </c>
      <c r="G208" s="0" t="s">
        <v>1078</v>
      </c>
      <c r="H208" s="0" t="e">
        <f aca="false">#N/A</f>
        <v>#N/A</v>
      </c>
      <c r="I208" s="0" t="e">
        <f aca="false">#N/A</f>
        <v>#N/A</v>
      </c>
      <c r="J208" s="0" t="e">
        <f aca="false">#N/A</f>
        <v>#N/A</v>
      </c>
      <c r="K208" s="0" t="e">
        <f aca="false">#N/A</f>
        <v>#N/A</v>
      </c>
      <c r="L208" s="0" t="e">
        <f aca="false">#N/A</f>
        <v>#N/A</v>
      </c>
      <c r="M208" s="0" t="s">
        <v>26</v>
      </c>
      <c r="N208" s="0" t="s">
        <v>235</v>
      </c>
      <c r="O208" s="0" t="s">
        <v>26</v>
      </c>
      <c r="P208" s="0" t="s">
        <v>26</v>
      </c>
      <c r="Q208" s="1" t="b">
        <f aca="false">TRUE()</f>
        <v>1</v>
      </c>
      <c r="R208" s="0" t="s">
        <v>254</v>
      </c>
      <c r="S208" s="0" t="e">
        <f aca="false">#N/A</f>
        <v>#N/A</v>
      </c>
      <c r="T208" s="2" t="s">
        <v>1080</v>
      </c>
    </row>
    <row r="209" customFormat="false" ht="15.85" hidden="false" customHeight="true" outlineLevel="0" collapsed="false">
      <c r="A209" s="0" t="s">
        <v>1081</v>
      </c>
      <c r="B209" s="0" t="e">
        <f aca="false">#N/A</f>
        <v>#N/A</v>
      </c>
      <c r="C209" s="0" t="s">
        <v>1082</v>
      </c>
      <c r="D209" s="0" t="s">
        <v>1083</v>
      </c>
      <c r="E209" s="0" t="e">
        <f aca="false">#N/A</f>
        <v>#N/A</v>
      </c>
      <c r="F209" s="0" t="s">
        <v>25</v>
      </c>
      <c r="G209" s="0" t="s">
        <v>1082</v>
      </c>
      <c r="H209" s="0" t="e">
        <f aca="false">#N/A</f>
        <v>#N/A</v>
      </c>
      <c r="I209" s="0" t="e">
        <f aca="false">#N/A</f>
        <v>#N/A</v>
      </c>
      <c r="J209" s="0" t="e">
        <f aca="false">#N/A</f>
        <v>#N/A</v>
      </c>
      <c r="K209" s="0" t="e">
        <f aca="false">#N/A</f>
        <v>#N/A</v>
      </c>
      <c r="L209" s="0" t="e">
        <f aca="false">#N/A</f>
        <v>#N/A</v>
      </c>
      <c r="M209" s="0" t="s">
        <v>26</v>
      </c>
      <c r="N209" s="0" t="s">
        <v>26</v>
      </c>
      <c r="O209" s="0" t="s">
        <v>26</v>
      </c>
      <c r="P209" s="0" t="s">
        <v>26</v>
      </c>
      <c r="Q209" s="1" t="b">
        <f aca="false">FALSE()</f>
        <v>0</v>
      </c>
      <c r="R209" s="0" t="e">
        <f aca="false">#N/A</f>
        <v>#N/A</v>
      </c>
      <c r="S209" s="0" t="e">
        <f aca="false">#N/A</f>
        <v>#N/A</v>
      </c>
      <c r="T209" s="2" t="s">
        <v>1084</v>
      </c>
    </row>
    <row r="210" customFormat="false" ht="15.85" hidden="false" customHeight="true" outlineLevel="0" collapsed="false">
      <c r="A210" s="0" t="s">
        <v>1085</v>
      </c>
      <c r="B210" s="0" t="e">
        <f aca="false">#N/A</f>
        <v>#N/A</v>
      </c>
      <c r="C210" s="0" t="s">
        <v>1086</v>
      </c>
      <c r="D210" s="0" t="s">
        <v>1087</v>
      </c>
      <c r="E210" s="0" t="e">
        <f aca="false">#N/A</f>
        <v>#N/A</v>
      </c>
      <c r="F210" s="0" t="s">
        <v>25</v>
      </c>
      <c r="G210" s="0" t="s">
        <v>1086</v>
      </c>
      <c r="H210" s="0" t="e">
        <f aca="false">#N/A</f>
        <v>#N/A</v>
      </c>
      <c r="I210" s="0" t="e">
        <f aca="false">#N/A</f>
        <v>#N/A</v>
      </c>
      <c r="J210" s="0" t="e">
        <f aca="false">#N/A</f>
        <v>#N/A</v>
      </c>
      <c r="K210" s="0" t="e">
        <f aca="false">#N/A</f>
        <v>#N/A</v>
      </c>
      <c r="L210" s="0" t="e">
        <f aca="false">#N/A</f>
        <v>#N/A</v>
      </c>
      <c r="M210" s="0" t="s">
        <v>26</v>
      </c>
      <c r="N210" s="0" t="s">
        <v>26</v>
      </c>
      <c r="O210" s="0" t="s">
        <v>26</v>
      </c>
      <c r="P210" s="0" t="s">
        <v>26</v>
      </c>
      <c r="Q210" s="1" t="b">
        <f aca="false">FALSE()</f>
        <v>0</v>
      </c>
      <c r="R210" s="0" t="e">
        <f aca="false">#N/A</f>
        <v>#N/A</v>
      </c>
      <c r="S210" s="0" t="e">
        <f aca="false">#N/A</f>
        <v>#N/A</v>
      </c>
      <c r="T210" s="2" t="s">
        <v>1088</v>
      </c>
    </row>
    <row r="211" customFormat="false" ht="15.85" hidden="false" customHeight="true" outlineLevel="0" collapsed="false">
      <c r="A211" s="0" t="s">
        <v>1089</v>
      </c>
      <c r="B211" s="0" t="e">
        <f aca="false">#N/A</f>
        <v>#N/A</v>
      </c>
      <c r="C211" s="0" t="s">
        <v>1090</v>
      </c>
      <c r="D211" s="0" t="s">
        <v>1091</v>
      </c>
      <c r="E211" s="0" t="e">
        <f aca="false">#N/A</f>
        <v>#N/A</v>
      </c>
      <c r="F211" s="0" t="s">
        <v>25</v>
      </c>
      <c r="G211" s="0" t="s">
        <v>1090</v>
      </c>
      <c r="H211" s="0" t="e">
        <f aca="false">#N/A</f>
        <v>#N/A</v>
      </c>
      <c r="I211" s="0" t="e">
        <f aca="false">#N/A</f>
        <v>#N/A</v>
      </c>
      <c r="J211" s="0" t="e">
        <f aca="false">#N/A</f>
        <v>#N/A</v>
      </c>
      <c r="K211" s="0" t="e">
        <f aca="false">#N/A</f>
        <v>#N/A</v>
      </c>
      <c r="L211" s="0" t="e">
        <f aca="false">#N/A</f>
        <v>#N/A</v>
      </c>
      <c r="M211" s="0" t="s">
        <v>26</v>
      </c>
      <c r="N211" s="0" t="s">
        <v>26</v>
      </c>
      <c r="O211" s="0" t="s">
        <v>26</v>
      </c>
      <c r="P211" s="0" t="s">
        <v>26</v>
      </c>
      <c r="Q211" s="1" t="b">
        <f aca="false">FALSE()</f>
        <v>0</v>
      </c>
      <c r="R211" s="0" t="e">
        <f aca="false">#N/A</f>
        <v>#N/A</v>
      </c>
      <c r="S211" s="0" t="e">
        <f aca="false">#N/A</f>
        <v>#N/A</v>
      </c>
      <c r="T211" s="2" t="s">
        <v>1092</v>
      </c>
    </row>
    <row r="212" customFormat="false" ht="15.85" hidden="false" customHeight="true" outlineLevel="0" collapsed="false">
      <c r="A212" s="0" t="s">
        <v>1093</v>
      </c>
      <c r="B212" s="0" t="e">
        <f aca="false">#N/A</f>
        <v>#N/A</v>
      </c>
      <c r="C212" s="2" t="s">
        <v>1094</v>
      </c>
      <c r="D212" s="0" t="s">
        <v>1095</v>
      </c>
      <c r="E212" s="0" t="e">
        <f aca="false">#N/A</f>
        <v>#N/A</v>
      </c>
      <c r="F212" s="0" t="s">
        <v>25</v>
      </c>
      <c r="G212" s="2" t="s">
        <v>1094</v>
      </c>
      <c r="H212" s="0" t="e">
        <f aca="false">#N/A</f>
        <v>#N/A</v>
      </c>
      <c r="I212" s="0" t="e">
        <f aca="false">#N/A</f>
        <v>#N/A</v>
      </c>
      <c r="J212" s="0" t="e">
        <f aca="false">#N/A</f>
        <v>#N/A</v>
      </c>
      <c r="K212" s="0" t="e">
        <f aca="false">#N/A</f>
        <v>#N/A</v>
      </c>
      <c r="L212" s="0" t="e">
        <f aca="false">#N/A</f>
        <v>#N/A</v>
      </c>
      <c r="M212" s="0" t="s">
        <v>26</v>
      </c>
      <c r="N212" s="0" t="s">
        <v>26</v>
      </c>
      <c r="O212" s="0" t="s">
        <v>26</v>
      </c>
      <c r="P212" s="0" t="s">
        <v>26</v>
      </c>
      <c r="Q212" s="1" t="b">
        <f aca="false">FALSE()</f>
        <v>0</v>
      </c>
      <c r="R212" s="0" t="e">
        <f aca="false">#N/A</f>
        <v>#N/A</v>
      </c>
      <c r="S212" s="0" t="e">
        <f aca="false">#N/A</f>
        <v>#N/A</v>
      </c>
      <c r="T212" s="2" t="s">
        <v>1096</v>
      </c>
    </row>
    <row r="213" customFormat="false" ht="15.85" hidden="false" customHeight="true" outlineLevel="0" collapsed="false">
      <c r="A213" s="0" t="s">
        <v>1097</v>
      </c>
      <c r="B213" s="0" t="e">
        <f aca="false">#N/A</f>
        <v>#N/A</v>
      </c>
      <c r="C213" s="0" t="s">
        <v>1098</v>
      </c>
      <c r="D213" s="0" t="s">
        <v>1099</v>
      </c>
      <c r="E213" s="0" t="e">
        <f aca="false">#N/A</f>
        <v>#N/A</v>
      </c>
      <c r="F213" s="0" t="s">
        <v>25</v>
      </c>
      <c r="G213" s="0" t="s">
        <v>1098</v>
      </c>
      <c r="H213" s="0" t="e">
        <f aca="false">#N/A</f>
        <v>#N/A</v>
      </c>
      <c r="I213" s="0" t="e">
        <f aca="false">#N/A</f>
        <v>#N/A</v>
      </c>
      <c r="J213" s="0" t="e">
        <f aca="false">#N/A</f>
        <v>#N/A</v>
      </c>
      <c r="K213" s="0" t="e">
        <f aca="false">#N/A</f>
        <v>#N/A</v>
      </c>
      <c r="L213" s="0" t="e">
        <f aca="false">#N/A</f>
        <v>#N/A</v>
      </c>
      <c r="M213" s="0" t="s">
        <v>26</v>
      </c>
      <c r="N213" s="0" t="s">
        <v>26</v>
      </c>
      <c r="O213" s="0" t="s">
        <v>26</v>
      </c>
      <c r="P213" s="0" t="s">
        <v>26</v>
      </c>
      <c r="Q213" s="1" t="b">
        <f aca="false">FALSE()</f>
        <v>0</v>
      </c>
      <c r="R213" s="0" t="e">
        <f aca="false">#N/A</f>
        <v>#N/A</v>
      </c>
      <c r="S213" s="0" t="e">
        <f aca="false">#N/A</f>
        <v>#N/A</v>
      </c>
      <c r="T213" s="2" t="s">
        <v>1100</v>
      </c>
    </row>
    <row r="214" customFormat="false" ht="15.85" hidden="false" customHeight="true" outlineLevel="0" collapsed="false">
      <c r="A214" s="0" t="s">
        <v>1101</v>
      </c>
      <c r="B214" s="0" t="e">
        <f aca="false">#N/A</f>
        <v>#N/A</v>
      </c>
      <c r="C214" s="0" t="s">
        <v>1102</v>
      </c>
      <c r="D214" s="0" t="s">
        <v>1103</v>
      </c>
      <c r="E214" s="0" t="e">
        <f aca="false">#N/A</f>
        <v>#N/A</v>
      </c>
      <c r="F214" s="0" t="s">
        <v>25</v>
      </c>
      <c r="G214" s="0" t="s">
        <v>1102</v>
      </c>
      <c r="H214" s="0" t="e">
        <f aca="false">#N/A</f>
        <v>#N/A</v>
      </c>
      <c r="I214" s="0" t="e">
        <f aca="false">#N/A</f>
        <v>#N/A</v>
      </c>
      <c r="J214" s="0" t="e">
        <f aca="false">#N/A</f>
        <v>#N/A</v>
      </c>
      <c r="K214" s="0" t="e">
        <f aca="false">#N/A</f>
        <v>#N/A</v>
      </c>
      <c r="L214" s="0" t="e">
        <f aca="false">#N/A</f>
        <v>#N/A</v>
      </c>
      <c r="M214" s="0" t="s">
        <v>26</v>
      </c>
      <c r="N214" s="0" t="s">
        <v>235</v>
      </c>
      <c r="O214" s="0" t="s">
        <v>26</v>
      </c>
      <c r="P214" s="0" t="s">
        <v>26</v>
      </c>
      <c r="Q214" s="1" t="b">
        <f aca="false">TRUE()</f>
        <v>1</v>
      </c>
      <c r="R214" s="0" t="s">
        <v>254</v>
      </c>
      <c r="S214" s="0" t="e">
        <f aca="false">#N/A</f>
        <v>#N/A</v>
      </c>
      <c r="T214" s="2" t="s">
        <v>1104</v>
      </c>
    </row>
    <row r="215" customFormat="false" ht="15.85" hidden="false" customHeight="true" outlineLevel="0" collapsed="false">
      <c r="A215" s="0" t="s">
        <v>1105</v>
      </c>
      <c r="B215" s="0" t="e">
        <f aca="false">#N/A</f>
        <v>#N/A</v>
      </c>
      <c r="C215" s="0" t="s">
        <v>1106</v>
      </c>
      <c r="D215" s="0" t="s">
        <v>1107</v>
      </c>
      <c r="E215" s="0" t="e">
        <f aca="false">#N/A</f>
        <v>#N/A</v>
      </c>
      <c r="F215" s="0" t="s">
        <v>25</v>
      </c>
      <c r="G215" s="0" t="s">
        <v>1106</v>
      </c>
      <c r="H215" s="0" t="e">
        <f aca="false">#N/A</f>
        <v>#N/A</v>
      </c>
      <c r="I215" s="0" t="e">
        <f aca="false">#N/A</f>
        <v>#N/A</v>
      </c>
      <c r="J215" s="0" t="e">
        <f aca="false">#N/A</f>
        <v>#N/A</v>
      </c>
      <c r="K215" s="0" t="e">
        <f aca="false">#N/A</f>
        <v>#N/A</v>
      </c>
      <c r="L215" s="0" t="e">
        <f aca="false">#N/A</f>
        <v>#N/A</v>
      </c>
      <c r="M215" s="0" t="s">
        <v>26</v>
      </c>
      <c r="N215" s="0" t="s">
        <v>26</v>
      </c>
      <c r="O215" s="0" t="s">
        <v>26</v>
      </c>
      <c r="P215" s="0" t="s">
        <v>26</v>
      </c>
      <c r="Q215" s="1" t="b">
        <f aca="false">FALSE()</f>
        <v>0</v>
      </c>
      <c r="R215" s="0" t="e">
        <f aca="false">#N/A</f>
        <v>#N/A</v>
      </c>
      <c r="S215" s="0" t="e">
        <f aca="false">#N/A</f>
        <v>#N/A</v>
      </c>
      <c r="T215" s="2" t="s">
        <v>1108</v>
      </c>
    </row>
    <row r="216" customFormat="false" ht="15.85" hidden="false" customHeight="true" outlineLevel="0" collapsed="false">
      <c r="A216" s="0" t="s">
        <v>1109</v>
      </c>
      <c r="B216" s="0" t="e">
        <f aca="false">#N/A</f>
        <v>#N/A</v>
      </c>
      <c r="C216" s="0" t="s">
        <v>1110</v>
      </c>
      <c r="D216" s="0" t="s">
        <v>1111</v>
      </c>
      <c r="E216" s="0" t="e">
        <f aca="false">#N/A</f>
        <v>#N/A</v>
      </c>
      <c r="F216" s="0" t="s">
        <v>25</v>
      </c>
      <c r="G216" s="0" t="s">
        <v>1110</v>
      </c>
      <c r="H216" s="0" t="e">
        <f aca="false">#N/A</f>
        <v>#N/A</v>
      </c>
      <c r="I216" s="0" t="e">
        <f aca="false">#N/A</f>
        <v>#N/A</v>
      </c>
      <c r="J216" s="0" t="e">
        <f aca="false">#N/A</f>
        <v>#N/A</v>
      </c>
      <c r="K216" s="0" t="e">
        <f aca="false">#N/A</f>
        <v>#N/A</v>
      </c>
      <c r="L216" s="0" t="e">
        <f aca="false">#N/A</f>
        <v>#N/A</v>
      </c>
      <c r="M216" s="0" t="s">
        <v>235</v>
      </c>
      <c r="N216" s="0" t="s">
        <v>26</v>
      </c>
      <c r="O216" s="0" t="s">
        <v>26</v>
      </c>
      <c r="P216" s="0" t="s">
        <v>26</v>
      </c>
      <c r="Q216" s="1" t="b">
        <f aca="false">TRUE()</f>
        <v>1</v>
      </c>
      <c r="R216" s="0" t="s">
        <v>254</v>
      </c>
      <c r="S216" s="0" t="e">
        <f aca="false">#N/A</f>
        <v>#N/A</v>
      </c>
      <c r="T216" s="2" t="s">
        <v>1112</v>
      </c>
    </row>
    <row r="217" customFormat="false" ht="15.85" hidden="false" customHeight="true" outlineLevel="0" collapsed="false">
      <c r="A217" s="0" t="s">
        <v>1113</v>
      </c>
      <c r="B217" s="0" t="e">
        <f aca="false">#N/A</f>
        <v>#N/A</v>
      </c>
      <c r="C217" s="0" t="s">
        <v>1114</v>
      </c>
      <c r="D217" s="0" t="s">
        <v>1115</v>
      </c>
      <c r="E217" s="0" t="e">
        <f aca="false">#N/A</f>
        <v>#N/A</v>
      </c>
      <c r="F217" s="0" t="s">
        <v>25</v>
      </c>
      <c r="G217" s="0" t="s">
        <v>1114</v>
      </c>
      <c r="H217" s="0" t="e">
        <f aca="false">#N/A</f>
        <v>#N/A</v>
      </c>
      <c r="I217" s="0" t="e">
        <f aca="false">#N/A</f>
        <v>#N/A</v>
      </c>
      <c r="J217" s="0" t="e">
        <f aca="false">#N/A</f>
        <v>#N/A</v>
      </c>
      <c r="K217" s="0" t="e">
        <f aca="false">#N/A</f>
        <v>#N/A</v>
      </c>
      <c r="L217" s="0" t="e">
        <f aca="false">#N/A</f>
        <v>#N/A</v>
      </c>
      <c r="M217" s="0" t="s">
        <v>26</v>
      </c>
      <c r="N217" s="0" t="s">
        <v>26</v>
      </c>
      <c r="O217" s="0" t="s">
        <v>26</v>
      </c>
      <c r="P217" s="0" t="s">
        <v>26</v>
      </c>
      <c r="Q217" s="1" t="b">
        <f aca="false">FALSE()</f>
        <v>0</v>
      </c>
      <c r="R217" s="0" t="e">
        <f aca="false">#N/A</f>
        <v>#N/A</v>
      </c>
      <c r="S217" s="0" t="e">
        <f aca="false">#N/A</f>
        <v>#N/A</v>
      </c>
      <c r="T217" s="2" t="s">
        <v>1116</v>
      </c>
    </row>
    <row r="218" customFormat="false" ht="15.85" hidden="false" customHeight="true" outlineLevel="0" collapsed="false">
      <c r="A218" s="0" t="s">
        <v>1117</v>
      </c>
      <c r="B218" s="0" t="e">
        <f aca="false">#N/A</f>
        <v>#N/A</v>
      </c>
      <c r="C218" s="0" t="s">
        <v>1118</v>
      </c>
      <c r="D218" s="0" t="s">
        <v>1119</v>
      </c>
      <c r="E218" s="0" t="e">
        <f aca="false">#N/A</f>
        <v>#N/A</v>
      </c>
      <c r="F218" s="0" t="s">
        <v>25</v>
      </c>
      <c r="G218" s="0" t="s">
        <v>1118</v>
      </c>
      <c r="H218" s="0" t="e">
        <f aca="false">#N/A</f>
        <v>#N/A</v>
      </c>
      <c r="I218" s="0" t="e">
        <f aca="false">#N/A</f>
        <v>#N/A</v>
      </c>
      <c r="J218" s="0" t="e">
        <f aca="false">#N/A</f>
        <v>#N/A</v>
      </c>
      <c r="K218" s="0" t="e">
        <f aca="false">#N/A</f>
        <v>#N/A</v>
      </c>
      <c r="L218" s="0" t="e">
        <f aca="false">#N/A</f>
        <v>#N/A</v>
      </c>
      <c r="M218" s="0" t="s">
        <v>235</v>
      </c>
      <c r="N218" s="0" t="s">
        <v>26</v>
      </c>
      <c r="O218" s="0" t="s">
        <v>26</v>
      </c>
      <c r="P218" s="0" t="s">
        <v>26</v>
      </c>
      <c r="Q218" s="1" t="b">
        <f aca="false">TRUE()</f>
        <v>1</v>
      </c>
      <c r="R218" s="0" t="s">
        <v>254</v>
      </c>
      <c r="S218" s="0" t="e">
        <f aca="false">#N/A</f>
        <v>#N/A</v>
      </c>
      <c r="T218" s="2" t="s">
        <v>1120</v>
      </c>
    </row>
    <row r="219" customFormat="false" ht="15.85" hidden="false" customHeight="true" outlineLevel="0" collapsed="false">
      <c r="A219" s="0" t="s">
        <v>1121</v>
      </c>
      <c r="B219" s="0" t="e">
        <f aca="false">#N/A</f>
        <v>#N/A</v>
      </c>
      <c r="C219" s="0" t="s">
        <v>1122</v>
      </c>
      <c r="D219" s="0" t="s">
        <v>1123</v>
      </c>
      <c r="E219" s="0" t="e">
        <f aca="false">#N/A</f>
        <v>#N/A</v>
      </c>
      <c r="F219" s="0" t="s">
        <v>25</v>
      </c>
      <c r="G219" s="0" t="s">
        <v>1122</v>
      </c>
      <c r="H219" s="0" t="e">
        <f aca="false">#N/A</f>
        <v>#N/A</v>
      </c>
      <c r="I219" s="0" t="e">
        <f aca="false">#N/A</f>
        <v>#N/A</v>
      </c>
      <c r="J219" s="0" t="e">
        <f aca="false">#N/A</f>
        <v>#N/A</v>
      </c>
      <c r="K219" s="0" t="e">
        <f aca="false">#N/A</f>
        <v>#N/A</v>
      </c>
      <c r="L219" s="0" t="e">
        <f aca="false">#N/A</f>
        <v>#N/A</v>
      </c>
      <c r="M219" s="0" t="s">
        <v>26</v>
      </c>
      <c r="N219" s="0" t="s">
        <v>26</v>
      </c>
      <c r="O219" s="0" t="s">
        <v>26</v>
      </c>
      <c r="P219" s="0" t="s">
        <v>26</v>
      </c>
      <c r="Q219" s="1" t="b">
        <f aca="false">FALSE()</f>
        <v>0</v>
      </c>
      <c r="R219" s="0" t="e">
        <f aca="false">#N/A</f>
        <v>#N/A</v>
      </c>
      <c r="S219" s="0" t="e">
        <f aca="false">#N/A</f>
        <v>#N/A</v>
      </c>
      <c r="T219" s="2" t="s">
        <v>1124</v>
      </c>
    </row>
    <row r="220" customFormat="false" ht="15.85" hidden="false" customHeight="true" outlineLevel="0" collapsed="false">
      <c r="A220" s="0" t="s">
        <v>1125</v>
      </c>
      <c r="B220" s="0" t="e">
        <f aca="false">#N/A</f>
        <v>#N/A</v>
      </c>
      <c r="C220" s="0" t="s">
        <v>1126</v>
      </c>
      <c r="D220" s="0" t="s">
        <v>1127</v>
      </c>
      <c r="E220" s="0" t="e">
        <f aca="false">#N/A</f>
        <v>#N/A</v>
      </c>
      <c r="F220" s="0" t="s">
        <v>25</v>
      </c>
      <c r="G220" s="0" t="s">
        <v>1126</v>
      </c>
      <c r="H220" s="0" t="e">
        <f aca="false">#N/A</f>
        <v>#N/A</v>
      </c>
      <c r="I220" s="0" t="e">
        <f aca="false">#N/A</f>
        <v>#N/A</v>
      </c>
      <c r="J220" s="0" t="e">
        <f aca="false">#N/A</f>
        <v>#N/A</v>
      </c>
      <c r="K220" s="0" t="e">
        <f aca="false">#N/A</f>
        <v>#N/A</v>
      </c>
      <c r="L220" s="0" t="e">
        <f aca="false">#N/A</f>
        <v>#N/A</v>
      </c>
      <c r="M220" s="0" t="s">
        <v>26</v>
      </c>
      <c r="N220" s="0" t="s">
        <v>26</v>
      </c>
      <c r="O220" s="0" t="s">
        <v>26</v>
      </c>
      <c r="P220" s="0" t="s">
        <v>26</v>
      </c>
      <c r="Q220" s="1" t="b">
        <f aca="false">FALSE()</f>
        <v>0</v>
      </c>
      <c r="R220" s="0" t="e">
        <f aca="false">#N/A</f>
        <v>#N/A</v>
      </c>
      <c r="S220" s="0" t="e">
        <f aca="false">#N/A</f>
        <v>#N/A</v>
      </c>
      <c r="T220" s="2" t="s">
        <v>1128</v>
      </c>
    </row>
    <row r="221" customFormat="false" ht="15.85" hidden="false" customHeight="true" outlineLevel="0" collapsed="false">
      <c r="A221" s="0" t="s">
        <v>1129</v>
      </c>
      <c r="B221" s="0" t="e">
        <f aca="false">#N/A</f>
        <v>#N/A</v>
      </c>
      <c r="C221" s="0" t="s">
        <v>1130</v>
      </c>
      <c r="D221" s="0" t="s">
        <v>1131</v>
      </c>
      <c r="E221" s="0" t="e">
        <f aca="false">#N/A</f>
        <v>#N/A</v>
      </c>
      <c r="F221" s="0" t="s">
        <v>25</v>
      </c>
      <c r="G221" s="0" t="s">
        <v>1130</v>
      </c>
      <c r="H221" s="0" t="e">
        <f aca="false">#N/A</f>
        <v>#N/A</v>
      </c>
      <c r="I221" s="0" t="e">
        <f aca="false">#N/A</f>
        <v>#N/A</v>
      </c>
      <c r="J221" s="0" t="e">
        <f aca="false">#N/A</f>
        <v>#N/A</v>
      </c>
      <c r="K221" s="0" t="e">
        <f aca="false">#N/A</f>
        <v>#N/A</v>
      </c>
      <c r="L221" s="0" t="e">
        <f aca="false">#N/A</f>
        <v>#N/A</v>
      </c>
      <c r="M221" s="0" t="s">
        <v>26</v>
      </c>
      <c r="N221" s="0" t="s">
        <v>26</v>
      </c>
      <c r="O221" s="0" t="s">
        <v>26</v>
      </c>
      <c r="P221" s="0" t="s">
        <v>26</v>
      </c>
      <c r="Q221" s="1" t="b">
        <f aca="false">FALSE()</f>
        <v>0</v>
      </c>
      <c r="R221" s="0" t="e">
        <f aca="false">#N/A</f>
        <v>#N/A</v>
      </c>
      <c r="S221" s="0" t="e">
        <f aca="false">#N/A</f>
        <v>#N/A</v>
      </c>
      <c r="T221" s="2" t="s">
        <v>1132</v>
      </c>
    </row>
    <row r="222" customFormat="false" ht="15.85" hidden="false" customHeight="true" outlineLevel="0" collapsed="false">
      <c r="A222" s="0" t="s">
        <v>1133</v>
      </c>
      <c r="B222" s="0" t="e">
        <f aca="false">#N/A</f>
        <v>#N/A</v>
      </c>
      <c r="C222" s="0" t="s">
        <v>1134</v>
      </c>
      <c r="D222" s="0" t="s">
        <v>1135</v>
      </c>
      <c r="E222" s="0" t="e">
        <f aca="false">#N/A</f>
        <v>#N/A</v>
      </c>
      <c r="F222" s="0" t="s">
        <v>25</v>
      </c>
      <c r="G222" s="0" t="s">
        <v>1134</v>
      </c>
      <c r="H222" s="0" t="e">
        <f aca="false">#N/A</f>
        <v>#N/A</v>
      </c>
      <c r="I222" s="0" t="e">
        <f aca="false">#N/A</f>
        <v>#N/A</v>
      </c>
      <c r="J222" s="0" t="e">
        <f aca="false">#N/A</f>
        <v>#N/A</v>
      </c>
      <c r="K222" s="0" t="e">
        <f aca="false">#N/A</f>
        <v>#N/A</v>
      </c>
      <c r="L222" s="0" t="e">
        <f aca="false">#N/A</f>
        <v>#N/A</v>
      </c>
      <c r="M222" s="0" t="s">
        <v>235</v>
      </c>
      <c r="N222" s="0" t="s">
        <v>26</v>
      </c>
      <c r="O222" s="0" t="s">
        <v>26</v>
      </c>
      <c r="P222" s="0" t="s">
        <v>26</v>
      </c>
      <c r="Q222" s="1" t="b">
        <f aca="false">TRUE()</f>
        <v>1</v>
      </c>
      <c r="R222" s="0" t="s">
        <v>254</v>
      </c>
      <c r="S222" s="0" t="e">
        <f aca="false">#N/A</f>
        <v>#N/A</v>
      </c>
      <c r="T222" s="2" t="s">
        <v>1136</v>
      </c>
    </row>
    <row r="223" customFormat="false" ht="15.85" hidden="false" customHeight="true" outlineLevel="0" collapsed="false">
      <c r="A223" s="0" t="s">
        <v>1137</v>
      </c>
      <c r="B223" s="0" t="e">
        <f aca="false">#N/A</f>
        <v>#N/A</v>
      </c>
      <c r="C223" s="0" t="s">
        <v>1138</v>
      </c>
      <c r="D223" s="0" t="s">
        <v>1139</v>
      </c>
      <c r="E223" s="0" t="e">
        <f aca="false">#N/A</f>
        <v>#N/A</v>
      </c>
      <c r="F223" s="0" t="s">
        <v>25</v>
      </c>
      <c r="G223" s="0" t="s">
        <v>1138</v>
      </c>
      <c r="H223" s="0" t="e">
        <f aca="false">#N/A</f>
        <v>#N/A</v>
      </c>
      <c r="I223" s="0" t="e">
        <f aca="false">#N/A</f>
        <v>#N/A</v>
      </c>
      <c r="J223" s="0" t="e">
        <f aca="false">#N/A</f>
        <v>#N/A</v>
      </c>
      <c r="K223" s="0" t="e">
        <f aca="false">#N/A</f>
        <v>#N/A</v>
      </c>
      <c r="L223" s="0" t="e">
        <f aca="false">#N/A</f>
        <v>#N/A</v>
      </c>
      <c r="M223" s="0" t="s">
        <v>26</v>
      </c>
      <c r="N223" s="0" t="s">
        <v>26</v>
      </c>
      <c r="O223" s="0" t="s">
        <v>26</v>
      </c>
      <c r="P223" s="0" t="s">
        <v>26</v>
      </c>
      <c r="Q223" s="1" t="b">
        <f aca="false">FALSE()</f>
        <v>0</v>
      </c>
      <c r="R223" s="0" t="e">
        <f aca="false">#N/A</f>
        <v>#N/A</v>
      </c>
      <c r="S223" s="0" t="e">
        <f aca="false">#N/A</f>
        <v>#N/A</v>
      </c>
      <c r="T223" s="2" t="s">
        <v>1140</v>
      </c>
    </row>
    <row r="224" customFormat="false" ht="15.85" hidden="false" customHeight="true" outlineLevel="0" collapsed="false">
      <c r="A224" s="0" t="s">
        <v>1141</v>
      </c>
      <c r="B224" s="0" t="e">
        <f aca="false">#N/A</f>
        <v>#N/A</v>
      </c>
      <c r="C224" s="0" t="s">
        <v>1142</v>
      </c>
      <c r="D224" s="0" t="s">
        <v>1143</v>
      </c>
      <c r="E224" s="0" t="e">
        <f aca="false">#N/A</f>
        <v>#N/A</v>
      </c>
      <c r="F224" s="0" t="s">
        <v>25</v>
      </c>
      <c r="G224" s="0" t="s">
        <v>1142</v>
      </c>
      <c r="H224" s="0" t="e">
        <f aca="false">#N/A</f>
        <v>#N/A</v>
      </c>
      <c r="I224" s="0" t="e">
        <f aca="false">#N/A</f>
        <v>#N/A</v>
      </c>
      <c r="J224" s="0" t="e">
        <f aca="false">#N/A</f>
        <v>#N/A</v>
      </c>
      <c r="K224" s="0" t="e">
        <f aca="false">#N/A</f>
        <v>#N/A</v>
      </c>
      <c r="L224" s="0" t="e">
        <f aca="false">#N/A</f>
        <v>#N/A</v>
      </c>
      <c r="M224" s="0" t="s">
        <v>26</v>
      </c>
      <c r="N224" s="0" t="s">
        <v>26</v>
      </c>
      <c r="O224" s="0" t="s">
        <v>26</v>
      </c>
      <c r="P224" s="0" t="s">
        <v>26</v>
      </c>
      <c r="Q224" s="1" t="b">
        <f aca="false">FALSE()</f>
        <v>0</v>
      </c>
      <c r="R224" s="0" t="e">
        <f aca="false">#N/A</f>
        <v>#N/A</v>
      </c>
      <c r="S224" s="0" t="e">
        <f aca="false">#N/A</f>
        <v>#N/A</v>
      </c>
      <c r="T224" s="2" t="s">
        <v>1144</v>
      </c>
    </row>
    <row r="225" customFormat="false" ht="15.85" hidden="false" customHeight="true" outlineLevel="0" collapsed="false">
      <c r="A225" s="0" t="s">
        <v>1145</v>
      </c>
      <c r="B225" s="0" t="e">
        <f aca="false">#N/A</f>
        <v>#N/A</v>
      </c>
      <c r="C225" s="0" t="s">
        <v>1146</v>
      </c>
      <c r="D225" s="0" t="s">
        <v>1147</v>
      </c>
      <c r="E225" s="0" t="e">
        <f aca="false">#N/A</f>
        <v>#N/A</v>
      </c>
      <c r="F225" s="0" t="s">
        <v>25</v>
      </c>
      <c r="G225" s="0" t="s">
        <v>1146</v>
      </c>
      <c r="H225" s="0" t="e">
        <f aca="false">#N/A</f>
        <v>#N/A</v>
      </c>
      <c r="I225" s="0" t="e">
        <f aca="false">#N/A</f>
        <v>#N/A</v>
      </c>
      <c r="J225" s="0" t="e">
        <f aca="false">#N/A</f>
        <v>#N/A</v>
      </c>
      <c r="K225" s="0" t="e">
        <f aca="false">#N/A</f>
        <v>#N/A</v>
      </c>
      <c r="L225" s="0" t="e">
        <f aca="false">#N/A</f>
        <v>#N/A</v>
      </c>
      <c r="M225" s="0" t="s">
        <v>26</v>
      </c>
      <c r="N225" s="0" t="s">
        <v>26</v>
      </c>
      <c r="O225" s="0" t="s">
        <v>26</v>
      </c>
      <c r="P225" s="0" t="s">
        <v>26</v>
      </c>
      <c r="Q225" s="1" t="b">
        <f aca="false">FALSE()</f>
        <v>0</v>
      </c>
      <c r="R225" s="0" t="e">
        <f aca="false">#N/A</f>
        <v>#N/A</v>
      </c>
      <c r="S225" s="0" t="e">
        <f aca="false">#N/A</f>
        <v>#N/A</v>
      </c>
      <c r="T225" s="2" t="s">
        <v>1148</v>
      </c>
    </row>
    <row r="226" customFormat="false" ht="15.85" hidden="false" customHeight="true" outlineLevel="0" collapsed="false">
      <c r="A226" s="0" t="s">
        <v>1149</v>
      </c>
      <c r="B226" s="0" t="e">
        <f aca="false">#N/A</f>
        <v>#N/A</v>
      </c>
      <c r="C226" s="0" t="s">
        <v>1150</v>
      </c>
      <c r="D226" s="0" t="s">
        <v>1151</v>
      </c>
      <c r="E226" s="0" t="e">
        <f aca="false">#N/A</f>
        <v>#N/A</v>
      </c>
      <c r="F226" s="0" t="s">
        <v>25</v>
      </c>
      <c r="G226" s="0" t="s">
        <v>1150</v>
      </c>
      <c r="H226" s="0" t="e">
        <f aca="false">#N/A</f>
        <v>#N/A</v>
      </c>
      <c r="I226" s="0" t="e">
        <f aca="false">#N/A</f>
        <v>#N/A</v>
      </c>
      <c r="J226" s="0" t="e">
        <f aca="false">#N/A</f>
        <v>#N/A</v>
      </c>
      <c r="K226" s="0" t="e">
        <f aca="false">#N/A</f>
        <v>#N/A</v>
      </c>
      <c r="L226" s="0" t="e">
        <f aca="false">#N/A</f>
        <v>#N/A</v>
      </c>
      <c r="M226" s="0" t="s">
        <v>26</v>
      </c>
      <c r="N226" s="0" t="s">
        <v>26</v>
      </c>
      <c r="O226" s="0" t="s">
        <v>26</v>
      </c>
      <c r="P226" s="0" t="s">
        <v>26</v>
      </c>
      <c r="Q226" s="1" t="b">
        <f aca="false">FALSE()</f>
        <v>0</v>
      </c>
      <c r="R226" s="0" t="e">
        <f aca="false">#N/A</f>
        <v>#N/A</v>
      </c>
      <c r="S226" s="0" t="e">
        <f aca="false">#N/A</f>
        <v>#N/A</v>
      </c>
      <c r="T226" s="2" t="s">
        <v>1152</v>
      </c>
    </row>
    <row r="227" customFormat="false" ht="15.85" hidden="false" customHeight="true" outlineLevel="0" collapsed="false">
      <c r="A227" s="0" t="s">
        <v>1153</v>
      </c>
      <c r="B227" s="0" t="e">
        <f aca="false">#N/A</f>
        <v>#N/A</v>
      </c>
      <c r="C227" s="0" t="s">
        <v>1154</v>
      </c>
      <c r="D227" s="0" t="s">
        <v>1155</v>
      </c>
      <c r="E227" s="0" t="e">
        <f aca="false">#N/A</f>
        <v>#N/A</v>
      </c>
      <c r="F227" s="0" t="s">
        <v>25</v>
      </c>
      <c r="G227" s="0" t="s">
        <v>1154</v>
      </c>
      <c r="H227" s="0" t="e">
        <f aca="false">#N/A</f>
        <v>#N/A</v>
      </c>
      <c r="I227" s="0" t="e">
        <f aca="false">#N/A</f>
        <v>#N/A</v>
      </c>
      <c r="J227" s="0" t="e">
        <f aca="false">#N/A</f>
        <v>#N/A</v>
      </c>
      <c r="K227" s="0" t="e">
        <f aca="false">#N/A</f>
        <v>#N/A</v>
      </c>
      <c r="L227" s="0" t="e">
        <f aca="false">#N/A</f>
        <v>#N/A</v>
      </c>
      <c r="M227" s="0" t="s">
        <v>26</v>
      </c>
      <c r="N227" s="0" t="s">
        <v>26</v>
      </c>
      <c r="O227" s="0" t="s">
        <v>26</v>
      </c>
      <c r="P227" s="0" t="s">
        <v>26</v>
      </c>
      <c r="Q227" s="1" t="b">
        <f aca="false">FALSE()</f>
        <v>0</v>
      </c>
      <c r="R227" s="0" t="e">
        <f aca="false">#N/A</f>
        <v>#N/A</v>
      </c>
      <c r="S227" s="0" t="e">
        <f aca="false">#N/A</f>
        <v>#N/A</v>
      </c>
      <c r="T227" s="2" t="s">
        <v>1156</v>
      </c>
    </row>
    <row r="228" customFormat="false" ht="15.85" hidden="false" customHeight="true" outlineLevel="0" collapsed="false">
      <c r="A228" s="0" t="s">
        <v>1157</v>
      </c>
      <c r="B228" s="0" t="e">
        <f aca="false">#N/A</f>
        <v>#N/A</v>
      </c>
      <c r="C228" s="0" t="s">
        <v>1158</v>
      </c>
      <c r="D228" s="0" t="s">
        <v>1159</v>
      </c>
      <c r="E228" s="0" t="e">
        <f aca="false">#N/A</f>
        <v>#N/A</v>
      </c>
      <c r="F228" s="0" t="s">
        <v>25</v>
      </c>
      <c r="G228" s="0" t="s">
        <v>1158</v>
      </c>
      <c r="H228" s="0" t="e">
        <f aca="false">#N/A</f>
        <v>#N/A</v>
      </c>
      <c r="I228" s="0" t="e">
        <f aca="false">#N/A</f>
        <v>#N/A</v>
      </c>
      <c r="J228" s="0" t="e">
        <f aca="false">#N/A</f>
        <v>#N/A</v>
      </c>
      <c r="K228" s="0" t="e">
        <f aca="false">#N/A</f>
        <v>#N/A</v>
      </c>
      <c r="L228" s="0" t="e">
        <f aca="false">#N/A</f>
        <v>#N/A</v>
      </c>
      <c r="M228" s="0" t="s">
        <v>26</v>
      </c>
      <c r="N228" s="0" t="s">
        <v>26</v>
      </c>
      <c r="O228" s="0" t="s">
        <v>26</v>
      </c>
      <c r="P228" s="0" t="s">
        <v>26</v>
      </c>
      <c r="Q228" s="1" t="b">
        <f aca="false">FALSE()</f>
        <v>0</v>
      </c>
      <c r="R228" s="0" t="e">
        <f aca="false">#N/A</f>
        <v>#N/A</v>
      </c>
      <c r="S228" s="0" t="e">
        <f aca="false">#N/A</f>
        <v>#N/A</v>
      </c>
      <c r="T228" s="2" t="s">
        <v>1160</v>
      </c>
    </row>
    <row r="229" customFormat="false" ht="15.85" hidden="false" customHeight="true" outlineLevel="0" collapsed="false">
      <c r="A229" s="0" t="s">
        <v>1161</v>
      </c>
      <c r="B229" s="0" t="e">
        <f aca="false">#N/A</f>
        <v>#N/A</v>
      </c>
      <c r="C229" s="0" t="s">
        <v>1162</v>
      </c>
      <c r="D229" s="0" t="s">
        <v>1163</v>
      </c>
      <c r="E229" s="0" t="e">
        <f aca="false">#N/A</f>
        <v>#N/A</v>
      </c>
      <c r="F229" s="0" t="s">
        <v>25</v>
      </c>
      <c r="G229" s="0" t="s">
        <v>1162</v>
      </c>
      <c r="H229" s="0" t="e">
        <f aca="false">#N/A</f>
        <v>#N/A</v>
      </c>
      <c r="I229" s="0" t="e">
        <f aca="false">#N/A</f>
        <v>#N/A</v>
      </c>
      <c r="J229" s="0" t="e">
        <f aca="false">#N/A</f>
        <v>#N/A</v>
      </c>
      <c r="K229" s="0" t="e">
        <f aca="false">#N/A</f>
        <v>#N/A</v>
      </c>
      <c r="L229" s="0" t="e">
        <f aca="false">#N/A</f>
        <v>#N/A</v>
      </c>
      <c r="M229" s="0" t="s">
        <v>26</v>
      </c>
      <c r="N229" s="0" t="s">
        <v>26</v>
      </c>
      <c r="O229" s="0" t="s">
        <v>26</v>
      </c>
      <c r="P229" s="0" t="s">
        <v>26</v>
      </c>
      <c r="Q229" s="1" t="b">
        <f aca="false">FALSE()</f>
        <v>0</v>
      </c>
      <c r="R229" s="0" t="e">
        <f aca="false">#N/A</f>
        <v>#N/A</v>
      </c>
      <c r="S229" s="0" t="e">
        <f aca="false">#N/A</f>
        <v>#N/A</v>
      </c>
      <c r="T229" s="2" t="s">
        <v>1164</v>
      </c>
    </row>
    <row r="230" customFormat="false" ht="15.85" hidden="false" customHeight="true" outlineLevel="0" collapsed="false">
      <c r="A230" s="0" t="s">
        <v>1165</v>
      </c>
      <c r="B230" s="0" t="e">
        <f aca="false">#N/A</f>
        <v>#N/A</v>
      </c>
      <c r="C230" s="0" t="s">
        <v>1166</v>
      </c>
      <c r="D230" s="0" t="s">
        <v>1167</v>
      </c>
      <c r="E230" s="0" t="e">
        <f aca="false">#N/A</f>
        <v>#N/A</v>
      </c>
      <c r="F230" s="0" t="s">
        <v>25</v>
      </c>
      <c r="G230" s="0" t="s">
        <v>1166</v>
      </c>
      <c r="H230" s="0" t="e">
        <f aca="false">#N/A</f>
        <v>#N/A</v>
      </c>
      <c r="I230" s="0" t="e">
        <f aca="false">#N/A</f>
        <v>#N/A</v>
      </c>
      <c r="J230" s="0" t="e">
        <f aca="false">#N/A</f>
        <v>#N/A</v>
      </c>
      <c r="K230" s="0" t="e">
        <f aca="false">#N/A</f>
        <v>#N/A</v>
      </c>
      <c r="L230" s="0" t="e">
        <f aca="false">#N/A</f>
        <v>#N/A</v>
      </c>
      <c r="M230" s="0" t="s">
        <v>26</v>
      </c>
      <c r="N230" s="0" t="s">
        <v>26</v>
      </c>
      <c r="O230" s="0" t="s">
        <v>26</v>
      </c>
      <c r="P230" s="0" t="s">
        <v>26</v>
      </c>
      <c r="Q230" s="1" t="b">
        <f aca="false">FALSE()</f>
        <v>0</v>
      </c>
      <c r="R230" s="0" t="e">
        <f aca="false">#N/A</f>
        <v>#N/A</v>
      </c>
      <c r="S230" s="0" t="e">
        <f aca="false">#N/A</f>
        <v>#N/A</v>
      </c>
      <c r="T230" s="2" t="s">
        <v>1168</v>
      </c>
    </row>
    <row r="231" customFormat="false" ht="15.85" hidden="false" customHeight="true" outlineLevel="0" collapsed="false">
      <c r="A231" s="0" t="s">
        <v>1169</v>
      </c>
      <c r="B231" s="0" t="e">
        <f aca="false">#N/A</f>
        <v>#N/A</v>
      </c>
      <c r="C231" s="0" t="s">
        <v>1170</v>
      </c>
      <c r="D231" s="0" t="s">
        <v>1171</v>
      </c>
      <c r="E231" s="0" t="e">
        <f aca="false">#N/A</f>
        <v>#N/A</v>
      </c>
      <c r="F231" s="0" t="s">
        <v>25</v>
      </c>
      <c r="G231" s="0" t="s">
        <v>1170</v>
      </c>
      <c r="H231" s="0" t="e">
        <f aca="false">#N/A</f>
        <v>#N/A</v>
      </c>
      <c r="I231" s="0" t="e">
        <f aca="false">#N/A</f>
        <v>#N/A</v>
      </c>
      <c r="J231" s="0" t="e">
        <f aca="false">#N/A</f>
        <v>#N/A</v>
      </c>
      <c r="K231" s="0" t="e">
        <f aca="false">#N/A</f>
        <v>#N/A</v>
      </c>
      <c r="L231" s="0" t="e">
        <f aca="false">#N/A</f>
        <v>#N/A</v>
      </c>
      <c r="M231" s="0" t="s">
        <v>26</v>
      </c>
      <c r="N231" s="0" t="s">
        <v>26</v>
      </c>
      <c r="O231" s="0" t="s">
        <v>26</v>
      </c>
      <c r="P231" s="0" t="s">
        <v>26</v>
      </c>
      <c r="Q231" s="1" t="b">
        <f aca="false">FALSE()</f>
        <v>0</v>
      </c>
      <c r="R231" s="0" t="e">
        <f aca="false">#N/A</f>
        <v>#N/A</v>
      </c>
      <c r="S231" s="0" t="e">
        <f aca="false">#N/A</f>
        <v>#N/A</v>
      </c>
      <c r="T231" s="2" t="s">
        <v>1172</v>
      </c>
    </row>
    <row r="232" customFormat="false" ht="15.85" hidden="false" customHeight="true" outlineLevel="0" collapsed="false">
      <c r="A232" s="0" t="s">
        <v>1173</v>
      </c>
      <c r="B232" s="0" t="e">
        <f aca="false">#N/A</f>
        <v>#N/A</v>
      </c>
      <c r="C232" s="0" t="e">
        <f aca="false">#N/A</f>
        <v>#N/A</v>
      </c>
      <c r="D232" s="0" t="s">
        <v>575</v>
      </c>
      <c r="E232" s="0" t="e">
        <f aca="false">#N/A</f>
        <v>#N/A</v>
      </c>
      <c r="F232" s="0" t="s">
        <v>1174</v>
      </c>
      <c r="G232" s="0" t="s">
        <v>1175</v>
      </c>
      <c r="H232" s="0" t="s">
        <v>1176</v>
      </c>
      <c r="I232" s="0" t="s">
        <v>1177</v>
      </c>
      <c r="J232" s="0" t="s">
        <v>1178</v>
      </c>
      <c r="K232" s="0" t="s">
        <v>1179</v>
      </c>
      <c r="L232" s="0" t="e">
        <f aca="false">#N/A</f>
        <v>#N/A</v>
      </c>
      <c r="M232" s="0" t="s">
        <v>26</v>
      </c>
      <c r="N232" s="0" t="s">
        <v>26</v>
      </c>
      <c r="O232" s="0" t="s">
        <v>26</v>
      </c>
      <c r="P232" s="0" t="s">
        <v>26</v>
      </c>
      <c r="Q232" s="1" t="b">
        <f aca="false">FALSE()</f>
        <v>0</v>
      </c>
      <c r="R232" s="0" t="e">
        <f aca="false">#N/A</f>
        <v>#N/A</v>
      </c>
      <c r="S232" s="0" t="e">
        <f aca="false">#N/A</f>
        <v>#N/A</v>
      </c>
      <c r="T232" s="2" t="s">
        <v>577</v>
      </c>
    </row>
    <row r="233" customFormat="false" ht="15.85" hidden="false" customHeight="true" outlineLevel="0" collapsed="false">
      <c r="A233" s="0" t="s">
        <v>1180</v>
      </c>
      <c r="B233" s="0" t="e">
        <f aca="false">#N/A</f>
        <v>#N/A</v>
      </c>
      <c r="C233" s="0" t="e">
        <f aca="false">#N/A</f>
        <v>#N/A</v>
      </c>
      <c r="D233" s="0" t="s">
        <v>706</v>
      </c>
      <c r="E233" s="0" t="e">
        <f aca="false">#N/A</f>
        <v>#N/A</v>
      </c>
      <c r="F233" s="0" t="s">
        <v>1174</v>
      </c>
      <c r="G233" s="0" t="s">
        <v>1181</v>
      </c>
      <c r="H233" s="0" t="s">
        <v>1182</v>
      </c>
      <c r="I233" s="0" t="s">
        <v>1183</v>
      </c>
      <c r="J233" s="0" t="s">
        <v>1184</v>
      </c>
      <c r="K233" s="0" t="s">
        <v>1185</v>
      </c>
      <c r="L233" s="0" t="e">
        <f aca="false">#N/A</f>
        <v>#N/A</v>
      </c>
      <c r="M233" s="0" t="s">
        <v>26</v>
      </c>
      <c r="N233" s="0" t="s">
        <v>26</v>
      </c>
      <c r="O233" s="0" t="s">
        <v>26</v>
      </c>
      <c r="P233" s="0" t="s">
        <v>26</v>
      </c>
      <c r="Q233" s="1" t="b">
        <f aca="false">FALSE()</f>
        <v>0</v>
      </c>
      <c r="R233" s="0" t="e">
        <f aca="false">#N/A</f>
        <v>#N/A</v>
      </c>
      <c r="S233" s="0" t="e">
        <f aca="false">#N/A</f>
        <v>#N/A</v>
      </c>
      <c r="T233" s="2" t="s">
        <v>708</v>
      </c>
    </row>
    <row r="234" customFormat="false" ht="15.85" hidden="false" customHeight="true" outlineLevel="0" collapsed="false">
      <c r="A234" s="0" t="s">
        <v>1186</v>
      </c>
      <c r="B234" s="0" t="e">
        <f aca="false">#N/A</f>
        <v>#N/A</v>
      </c>
      <c r="C234" s="0" t="e">
        <f aca="false">#N/A</f>
        <v>#N/A</v>
      </c>
      <c r="D234" s="0" t="s">
        <v>706</v>
      </c>
      <c r="E234" s="0" t="e">
        <f aca="false">#N/A</f>
        <v>#N/A</v>
      </c>
      <c r="F234" s="0" t="s">
        <v>1174</v>
      </c>
      <c r="G234" s="0" t="s">
        <v>1187</v>
      </c>
      <c r="H234" s="0" t="s">
        <v>1188</v>
      </c>
      <c r="I234" s="0" t="s">
        <v>1189</v>
      </c>
      <c r="J234" s="0" t="s">
        <v>1184</v>
      </c>
      <c r="K234" s="0" t="s">
        <v>1185</v>
      </c>
      <c r="L234" s="0" t="e">
        <f aca="false">#N/A</f>
        <v>#N/A</v>
      </c>
      <c r="M234" s="0" t="s">
        <v>26</v>
      </c>
      <c r="N234" s="0" t="s">
        <v>26</v>
      </c>
      <c r="O234" s="0" t="s">
        <v>26</v>
      </c>
      <c r="P234" s="0" t="s">
        <v>26</v>
      </c>
      <c r="Q234" s="1" t="b">
        <f aca="false">FALSE()</f>
        <v>0</v>
      </c>
      <c r="R234" s="0" t="e">
        <f aca="false">#N/A</f>
        <v>#N/A</v>
      </c>
      <c r="S234" s="0" t="e">
        <f aca="false">#N/A</f>
        <v>#N/A</v>
      </c>
      <c r="T234" s="2" t="s">
        <v>708</v>
      </c>
    </row>
    <row r="235" customFormat="false" ht="15.85" hidden="false" customHeight="true" outlineLevel="0" collapsed="false">
      <c r="A235" s="0" t="s">
        <v>1190</v>
      </c>
      <c r="B235" s="0" t="e">
        <f aca="false">#N/A</f>
        <v>#N/A</v>
      </c>
      <c r="C235" s="0" t="e">
        <f aca="false">#N/A</f>
        <v>#N/A</v>
      </c>
      <c r="D235" s="0" t="s">
        <v>1191</v>
      </c>
      <c r="E235" s="0" t="e">
        <f aca="false">#N/A</f>
        <v>#N/A</v>
      </c>
      <c r="F235" s="0" t="s">
        <v>1174</v>
      </c>
      <c r="G235" s="0" t="s">
        <v>1192</v>
      </c>
      <c r="H235" s="0" t="s">
        <v>1188</v>
      </c>
      <c r="I235" s="0" t="s">
        <v>1193</v>
      </c>
      <c r="J235" s="0" t="s">
        <v>1194</v>
      </c>
      <c r="K235" s="0" t="s">
        <v>1195</v>
      </c>
      <c r="L235" s="0" t="e">
        <f aca="false">#N/A</f>
        <v>#N/A</v>
      </c>
      <c r="M235" s="0" t="s">
        <v>26</v>
      </c>
      <c r="N235" s="0" t="s">
        <v>26</v>
      </c>
      <c r="O235" s="0" t="s">
        <v>26</v>
      </c>
      <c r="P235" s="0" t="s">
        <v>26</v>
      </c>
      <c r="Q235" s="1" t="b">
        <f aca="false">FALSE()</f>
        <v>0</v>
      </c>
      <c r="R235" s="0" t="e">
        <f aca="false">#N/A</f>
        <v>#N/A</v>
      </c>
      <c r="S235" s="0" t="e">
        <f aca="false">#N/A</f>
        <v>#N/A</v>
      </c>
      <c r="T235" s="2" t="s">
        <v>1196</v>
      </c>
    </row>
    <row r="236" customFormat="false" ht="15.85" hidden="false" customHeight="true" outlineLevel="0" collapsed="false">
      <c r="A236" s="0" t="s">
        <v>1197</v>
      </c>
      <c r="B236" s="0" t="e">
        <f aca="false">#N/A</f>
        <v>#N/A</v>
      </c>
      <c r="C236" s="0" t="e">
        <f aca="false">#N/A</f>
        <v>#N/A</v>
      </c>
      <c r="D236" s="0" t="s">
        <v>1191</v>
      </c>
      <c r="E236" s="0" t="e">
        <f aca="false">#N/A</f>
        <v>#N/A</v>
      </c>
      <c r="F236" s="0" t="s">
        <v>1174</v>
      </c>
      <c r="G236" s="0" t="s">
        <v>1198</v>
      </c>
      <c r="H236" s="0" t="s">
        <v>1182</v>
      </c>
      <c r="I236" s="0" t="s">
        <v>1199</v>
      </c>
      <c r="J236" s="0" t="s">
        <v>1194</v>
      </c>
      <c r="K236" s="0" t="s">
        <v>1195</v>
      </c>
      <c r="L236" s="0" t="e">
        <f aca="false">#N/A</f>
        <v>#N/A</v>
      </c>
      <c r="M236" s="0" t="s">
        <v>26</v>
      </c>
      <c r="N236" s="0" t="s">
        <v>26</v>
      </c>
      <c r="O236" s="0" t="s">
        <v>26</v>
      </c>
      <c r="P236" s="0" t="s">
        <v>26</v>
      </c>
      <c r="Q236" s="1" t="b">
        <f aca="false">FALSE()</f>
        <v>0</v>
      </c>
      <c r="R236" s="0" t="e">
        <f aca="false">#N/A</f>
        <v>#N/A</v>
      </c>
      <c r="S236" s="0" t="e">
        <f aca="false">#N/A</f>
        <v>#N/A</v>
      </c>
      <c r="T236" s="2" t="s">
        <v>1196</v>
      </c>
    </row>
    <row r="237" customFormat="false" ht="15.85" hidden="false" customHeight="true" outlineLevel="0" collapsed="false">
      <c r="A237" s="0" t="s">
        <v>1200</v>
      </c>
      <c r="B237" s="0" t="e">
        <f aca="false">#N/A</f>
        <v>#N/A</v>
      </c>
      <c r="C237" s="0" t="e">
        <f aca="false">#N/A</f>
        <v>#N/A</v>
      </c>
      <c r="D237" s="0" t="s">
        <v>539</v>
      </c>
      <c r="E237" s="0" t="e">
        <f aca="false">#N/A</f>
        <v>#N/A</v>
      </c>
      <c r="F237" s="0" t="s">
        <v>1174</v>
      </c>
      <c r="G237" s="0" t="s">
        <v>1201</v>
      </c>
      <c r="H237" s="0" t="s">
        <v>1202</v>
      </c>
      <c r="I237" s="0" t="s">
        <v>1203</v>
      </c>
      <c r="J237" s="0" t="s">
        <v>1204</v>
      </c>
      <c r="K237" s="0" t="s">
        <v>1205</v>
      </c>
      <c r="L237" s="0" t="e">
        <f aca="false">#N/A</f>
        <v>#N/A</v>
      </c>
      <c r="M237" s="0" t="s">
        <v>26</v>
      </c>
      <c r="N237" s="0" t="s">
        <v>26</v>
      </c>
      <c r="O237" s="0" t="s">
        <v>26</v>
      </c>
      <c r="P237" s="0" t="s">
        <v>26</v>
      </c>
      <c r="Q237" s="1" t="b">
        <f aca="false">FALSE()</f>
        <v>0</v>
      </c>
      <c r="R237" s="0" t="e">
        <f aca="false">#N/A</f>
        <v>#N/A</v>
      </c>
      <c r="S237" s="0" t="e">
        <f aca="false">#N/A</f>
        <v>#N/A</v>
      </c>
      <c r="T237" s="2" t="s">
        <v>541</v>
      </c>
    </row>
    <row r="238" customFormat="false" ht="15.85" hidden="false" customHeight="true" outlineLevel="0" collapsed="false">
      <c r="A238" s="0" t="s">
        <v>1206</v>
      </c>
      <c r="B238" s="0" t="e">
        <f aca="false">#N/A</f>
        <v>#N/A</v>
      </c>
      <c r="C238" s="0" t="e">
        <f aca="false">#N/A</f>
        <v>#N/A</v>
      </c>
      <c r="D238" s="0" t="s">
        <v>383</v>
      </c>
      <c r="E238" s="0" t="e">
        <f aca="false">#N/A</f>
        <v>#N/A</v>
      </c>
      <c r="F238" s="0" t="s">
        <v>1174</v>
      </c>
      <c r="G238" s="0" t="s">
        <v>1207</v>
      </c>
      <c r="H238" s="0" t="s">
        <v>1208</v>
      </c>
      <c r="I238" s="0" t="s">
        <v>1209</v>
      </c>
      <c r="J238" s="0" t="s">
        <v>1210</v>
      </c>
      <c r="K238" s="0" t="s">
        <v>1211</v>
      </c>
      <c r="L238" s="0" t="e">
        <f aca="false">#N/A</f>
        <v>#N/A</v>
      </c>
      <c r="M238" s="0" t="s">
        <v>26</v>
      </c>
      <c r="N238" s="0" t="s">
        <v>26</v>
      </c>
      <c r="O238" s="0" t="s">
        <v>26</v>
      </c>
      <c r="P238" s="0" t="s">
        <v>26</v>
      </c>
      <c r="Q238" s="1" t="b">
        <f aca="false">FALSE()</f>
        <v>0</v>
      </c>
      <c r="R238" s="0" t="e">
        <f aca="false">#N/A</f>
        <v>#N/A</v>
      </c>
      <c r="S238" s="0" t="e">
        <f aca="false">#N/A</f>
        <v>#N/A</v>
      </c>
      <c r="T238" s="2" t="s">
        <v>385</v>
      </c>
    </row>
    <row r="239" customFormat="false" ht="15.85" hidden="false" customHeight="true" outlineLevel="0" collapsed="false">
      <c r="A239" s="0" t="s">
        <v>1212</v>
      </c>
      <c r="B239" s="0" t="e">
        <f aca="false">#N/A</f>
        <v>#N/A</v>
      </c>
      <c r="C239" s="0" t="e">
        <f aca="false">#N/A</f>
        <v>#N/A</v>
      </c>
      <c r="D239" s="0" t="s">
        <v>383</v>
      </c>
      <c r="E239" s="0" t="e">
        <f aca="false">#N/A</f>
        <v>#N/A</v>
      </c>
      <c r="F239" s="0" t="s">
        <v>1174</v>
      </c>
      <c r="G239" s="0" t="s">
        <v>1213</v>
      </c>
      <c r="H239" s="0" t="s">
        <v>1202</v>
      </c>
      <c r="I239" s="0" t="s">
        <v>1214</v>
      </c>
      <c r="J239" s="0" t="s">
        <v>1210</v>
      </c>
      <c r="K239" s="0" t="s">
        <v>1211</v>
      </c>
      <c r="L239" s="0" t="e">
        <f aca="false">#N/A</f>
        <v>#N/A</v>
      </c>
      <c r="M239" s="0" t="s">
        <v>26</v>
      </c>
      <c r="N239" s="0" t="s">
        <v>26</v>
      </c>
      <c r="O239" s="0" t="s">
        <v>26</v>
      </c>
      <c r="P239" s="0" t="s">
        <v>26</v>
      </c>
      <c r="Q239" s="1" t="b">
        <f aca="false">FALSE()</f>
        <v>0</v>
      </c>
      <c r="R239" s="0" t="e">
        <f aca="false">#N/A</f>
        <v>#N/A</v>
      </c>
      <c r="S239" s="0" t="e">
        <f aca="false">#N/A</f>
        <v>#N/A</v>
      </c>
      <c r="T239" s="2" t="s">
        <v>385</v>
      </c>
    </row>
    <row r="240" customFormat="false" ht="15.85" hidden="false" customHeight="true" outlineLevel="0" collapsed="false">
      <c r="A240" s="0" t="s">
        <v>1215</v>
      </c>
      <c r="B240" s="0" t="e">
        <f aca="false">#N/A</f>
        <v>#N/A</v>
      </c>
      <c r="C240" s="0" t="e">
        <f aca="false">#N/A</f>
        <v>#N/A</v>
      </c>
      <c r="D240" s="0" t="s">
        <v>1216</v>
      </c>
      <c r="E240" s="0" t="e">
        <f aca="false">#N/A</f>
        <v>#N/A</v>
      </c>
      <c r="F240" s="0" t="s">
        <v>1174</v>
      </c>
      <c r="G240" s="0" t="s">
        <v>1217</v>
      </c>
      <c r="H240" s="0" t="s">
        <v>1218</v>
      </c>
      <c r="I240" s="0" t="s">
        <v>1219</v>
      </c>
      <c r="J240" s="0" t="s">
        <v>1220</v>
      </c>
      <c r="K240" s="0" t="s">
        <v>1221</v>
      </c>
      <c r="L240" s="0" t="e">
        <f aca="false">#N/A</f>
        <v>#N/A</v>
      </c>
      <c r="M240" s="0" t="s">
        <v>26</v>
      </c>
      <c r="N240" s="0" t="s">
        <v>26</v>
      </c>
      <c r="O240" s="0" t="s">
        <v>26</v>
      </c>
      <c r="P240" s="0" t="s">
        <v>26</v>
      </c>
      <c r="Q240" s="1" t="b">
        <f aca="false">FALSE()</f>
        <v>0</v>
      </c>
      <c r="R240" s="0" t="e">
        <f aca="false">#N/A</f>
        <v>#N/A</v>
      </c>
      <c r="S240" s="0" t="e">
        <f aca="false">#N/A</f>
        <v>#N/A</v>
      </c>
      <c r="T240" s="2" t="s">
        <v>1222</v>
      </c>
    </row>
    <row r="241" customFormat="false" ht="15.85" hidden="false" customHeight="true" outlineLevel="0" collapsed="false">
      <c r="A241" s="0" t="s">
        <v>1223</v>
      </c>
      <c r="B241" s="0" t="e">
        <f aca="false">#N/A</f>
        <v>#N/A</v>
      </c>
      <c r="C241" s="0" t="e">
        <f aca="false">#N/A</f>
        <v>#N/A</v>
      </c>
      <c r="D241" s="0" t="s">
        <v>599</v>
      </c>
      <c r="E241" s="0" t="e">
        <f aca="false">#N/A</f>
        <v>#N/A</v>
      </c>
      <c r="F241" s="0" t="s">
        <v>1174</v>
      </c>
      <c r="G241" s="0" t="s">
        <v>1224</v>
      </c>
      <c r="H241" s="0" t="s">
        <v>1202</v>
      </c>
      <c r="I241" s="0" t="s">
        <v>1225</v>
      </c>
      <c r="J241" s="0" t="s">
        <v>1226</v>
      </c>
      <c r="K241" s="0" t="s">
        <v>1227</v>
      </c>
      <c r="L241" s="0" t="e">
        <f aca="false">#N/A</f>
        <v>#N/A</v>
      </c>
      <c r="M241" s="0" t="s">
        <v>26</v>
      </c>
      <c r="N241" s="0" t="s">
        <v>26</v>
      </c>
      <c r="O241" s="0" t="s">
        <v>26</v>
      </c>
      <c r="P241" s="0" t="s">
        <v>26</v>
      </c>
      <c r="Q241" s="1" t="b">
        <f aca="false">FALSE()</f>
        <v>0</v>
      </c>
      <c r="R241" s="0" t="e">
        <f aca="false">#N/A</f>
        <v>#N/A</v>
      </c>
      <c r="S241" s="0" t="e">
        <f aca="false">#N/A</f>
        <v>#N/A</v>
      </c>
      <c r="T241" s="2" t="s">
        <v>601</v>
      </c>
    </row>
    <row r="242" customFormat="false" ht="15.85" hidden="false" customHeight="true" outlineLevel="0" collapsed="false">
      <c r="A242" s="0" t="s">
        <v>1228</v>
      </c>
      <c r="B242" s="0" t="e">
        <f aca="false">#N/A</f>
        <v>#N/A</v>
      </c>
      <c r="C242" s="0" t="e">
        <f aca="false">#N/A</f>
        <v>#N/A</v>
      </c>
      <c r="D242" s="0" t="s">
        <v>1229</v>
      </c>
      <c r="E242" s="0" t="e">
        <f aca="false">#N/A</f>
        <v>#N/A</v>
      </c>
      <c r="F242" s="0" t="s">
        <v>1174</v>
      </c>
      <c r="G242" s="0" t="s">
        <v>1230</v>
      </c>
      <c r="H242" s="0" t="s">
        <v>1202</v>
      </c>
      <c r="I242" s="0" t="s">
        <v>1231</v>
      </c>
      <c r="J242" s="0" t="s">
        <v>1232</v>
      </c>
      <c r="K242" s="0" t="s">
        <v>1233</v>
      </c>
      <c r="L242" s="0" t="e">
        <f aca="false">#N/A</f>
        <v>#N/A</v>
      </c>
      <c r="M242" s="0" t="s">
        <v>26</v>
      </c>
      <c r="N242" s="0" t="s">
        <v>26</v>
      </c>
      <c r="O242" s="0" t="s">
        <v>26</v>
      </c>
      <c r="P242" s="0" t="s">
        <v>26</v>
      </c>
      <c r="Q242" s="1" t="b">
        <f aca="false">FALSE()</f>
        <v>0</v>
      </c>
      <c r="R242" s="0" t="e">
        <f aca="false">#N/A</f>
        <v>#N/A</v>
      </c>
      <c r="S242" s="0" t="e">
        <f aca="false">#N/A</f>
        <v>#N/A</v>
      </c>
      <c r="T242" s="2" t="s">
        <v>1234</v>
      </c>
    </row>
    <row r="243" customFormat="false" ht="15.85" hidden="false" customHeight="true" outlineLevel="0" collapsed="false">
      <c r="A243" s="0" t="s">
        <v>1235</v>
      </c>
      <c r="B243" s="0" t="e">
        <f aca="false">#N/A</f>
        <v>#N/A</v>
      </c>
      <c r="C243" s="0" t="e">
        <f aca="false">#N/A</f>
        <v>#N/A</v>
      </c>
      <c r="D243" s="0" t="s">
        <v>1229</v>
      </c>
      <c r="E243" s="0" t="e">
        <f aca="false">#N/A</f>
        <v>#N/A</v>
      </c>
      <c r="F243" s="0" t="s">
        <v>1174</v>
      </c>
      <c r="G243" s="0" t="s">
        <v>1236</v>
      </c>
      <c r="H243" s="0" t="s">
        <v>1237</v>
      </c>
      <c r="I243" s="0" t="s">
        <v>1238</v>
      </c>
      <c r="J243" s="0" t="s">
        <v>1232</v>
      </c>
      <c r="K243" s="0" t="s">
        <v>1233</v>
      </c>
      <c r="L243" s="0" t="e">
        <f aca="false">#N/A</f>
        <v>#N/A</v>
      </c>
      <c r="M243" s="0" t="s">
        <v>26</v>
      </c>
      <c r="N243" s="0" t="s">
        <v>26</v>
      </c>
      <c r="O243" s="0" t="s">
        <v>26</v>
      </c>
      <c r="P243" s="0" t="s">
        <v>26</v>
      </c>
      <c r="Q243" s="1" t="b">
        <f aca="false">FALSE()</f>
        <v>0</v>
      </c>
      <c r="R243" s="0" t="e">
        <f aca="false">#N/A</f>
        <v>#N/A</v>
      </c>
      <c r="S243" s="0" t="e">
        <f aca="false">#N/A</f>
        <v>#N/A</v>
      </c>
      <c r="T243" s="2" t="s">
        <v>1234</v>
      </c>
    </row>
    <row r="244" customFormat="false" ht="15.85" hidden="false" customHeight="true" outlineLevel="0" collapsed="false">
      <c r="A244" s="0" t="s">
        <v>1239</v>
      </c>
      <c r="B244" s="0" t="e">
        <f aca="false">#N/A</f>
        <v>#N/A</v>
      </c>
      <c r="C244" s="0" t="e">
        <f aca="false">#N/A</f>
        <v>#N/A</v>
      </c>
      <c r="D244" s="0" t="s">
        <v>1240</v>
      </c>
      <c r="E244" s="0" t="e">
        <f aca="false">#N/A</f>
        <v>#N/A</v>
      </c>
      <c r="F244" s="0" t="s">
        <v>1174</v>
      </c>
      <c r="G244" s="0" t="s">
        <v>1241</v>
      </c>
      <c r="H244" s="0" t="s">
        <v>1242</v>
      </c>
      <c r="I244" s="0" t="s">
        <v>1243</v>
      </c>
      <c r="J244" s="0" t="s">
        <v>1244</v>
      </c>
      <c r="K244" s="0" t="s">
        <v>1245</v>
      </c>
      <c r="L244" s="0" t="e">
        <f aca="false">#N/A</f>
        <v>#N/A</v>
      </c>
      <c r="M244" s="0" t="s">
        <v>26</v>
      </c>
      <c r="N244" s="0" t="s">
        <v>26</v>
      </c>
      <c r="O244" s="0" t="s">
        <v>26</v>
      </c>
      <c r="P244" s="0" t="s">
        <v>26</v>
      </c>
      <c r="Q244" s="1" t="b">
        <f aca="false">FALSE()</f>
        <v>0</v>
      </c>
      <c r="R244" s="0" t="e">
        <f aca="false">#N/A</f>
        <v>#N/A</v>
      </c>
      <c r="S244" s="0" t="e">
        <f aca="false">#N/A</f>
        <v>#N/A</v>
      </c>
      <c r="T244" s="2" t="s">
        <v>1246</v>
      </c>
    </row>
    <row r="245" customFormat="false" ht="15.85" hidden="false" customHeight="true" outlineLevel="0" collapsed="false">
      <c r="A245" s="0" t="s">
        <v>1247</v>
      </c>
      <c r="B245" s="0" t="e">
        <f aca="false">#N/A</f>
        <v>#N/A</v>
      </c>
      <c r="C245" s="0" t="e">
        <f aca="false">#N/A</f>
        <v>#N/A</v>
      </c>
      <c r="D245" s="0" t="s">
        <v>1248</v>
      </c>
      <c r="E245" s="0" t="e">
        <f aca="false">#N/A</f>
        <v>#N/A</v>
      </c>
      <c r="F245" s="0" t="s">
        <v>1174</v>
      </c>
      <c r="G245" s="0" t="s">
        <v>1249</v>
      </c>
      <c r="H245" s="0" t="s">
        <v>1250</v>
      </c>
      <c r="I245" s="0" t="s">
        <v>1251</v>
      </c>
      <c r="J245" s="0" t="s">
        <v>1252</v>
      </c>
      <c r="K245" s="0" t="s">
        <v>1253</v>
      </c>
      <c r="L245" s="0" t="e">
        <f aca="false">#N/A</f>
        <v>#N/A</v>
      </c>
      <c r="M245" s="0" t="s">
        <v>26</v>
      </c>
      <c r="N245" s="0" t="s">
        <v>26</v>
      </c>
      <c r="O245" s="0" t="s">
        <v>26</v>
      </c>
      <c r="P245" s="0" t="s">
        <v>26</v>
      </c>
      <c r="Q245" s="1" t="b">
        <f aca="false">FALSE()</f>
        <v>0</v>
      </c>
      <c r="R245" s="0" t="e">
        <f aca="false">#N/A</f>
        <v>#N/A</v>
      </c>
      <c r="S245" s="0" t="e">
        <f aca="false">#N/A</f>
        <v>#N/A</v>
      </c>
      <c r="T245" s="2" t="s">
        <v>1254</v>
      </c>
    </row>
    <row r="246" customFormat="false" ht="15.85" hidden="false" customHeight="true" outlineLevel="0" collapsed="false">
      <c r="A246" s="0" t="s">
        <v>1255</v>
      </c>
      <c r="B246" s="0" t="e">
        <f aca="false">#N/A</f>
        <v>#N/A</v>
      </c>
      <c r="C246" s="0" t="e">
        <f aca="false">#N/A</f>
        <v>#N/A</v>
      </c>
      <c r="D246" s="0" t="s">
        <v>1256</v>
      </c>
      <c r="E246" s="0" t="e">
        <f aca="false">#N/A</f>
        <v>#N/A</v>
      </c>
      <c r="F246" s="0" t="s">
        <v>1174</v>
      </c>
      <c r="G246" s="0" t="s">
        <v>1257</v>
      </c>
      <c r="H246" s="0" t="s">
        <v>1258</v>
      </c>
      <c r="I246" s="0" t="s">
        <v>1259</v>
      </c>
      <c r="J246" s="0" t="s">
        <v>1260</v>
      </c>
      <c r="K246" s="0" t="s">
        <v>1261</v>
      </c>
      <c r="L246" s="0" t="e">
        <f aca="false">#N/A</f>
        <v>#N/A</v>
      </c>
      <c r="M246" s="0" t="s">
        <v>26</v>
      </c>
      <c r="N246" s="0" t="s">
        <v>26</v>
      </c>
      <c r="O246" s="0" t="s">
        <v>26</v>
      </c>
      <c r="P246" s="0" t="s">
        <v>26</v>
      </c>
      <c r="Q246" s="1" t="b">
        <f aca="false">FALSE()</f>
        <v>0</v>
      </c>
      <c r="R246" s="0" t="e">
        <f aca="false">#N/A</f>
        <v>#N/A</v>
      </c>
      <c r="S246" s="0" t="e">
        <f aca="false">#N/A</f>
        <v>#N/A</v>
      </c>
      <c r="T246" s="2" t="s">
        <v>1262</v>
      </c>
    </row>
    <row r="247" customFormat="false" ht="15.85" hidden="false" customHeight="true" outlineLevel="0" collapsed="false">
      <c r="A247" s="0" t="s">
        <v>1263</v>
      </c>
      <c r="B247" s="0" t="e">
        <f aca="false">#N/A</f>
        <v>#N/A</v>
      </c>
      <c r="C247" s="0" t="e">
        <f aca="false">#N/A</f>
        <v>#N/A</v>
      </c>
      <c r="D247" s="0" t="s">
        <v>1264</v>
      </c>
      <c r="E247" s="0" t="e">
        <f aca="false">#N/A</f>
        <v>#N/A</v>
      </c>
      <c r="F247" s="0" t="s">
        <v>1174</v>
      </c>
      <c r="G247" s="0" t="s">
        <v>1265</v>
      </c>
      <c r="H247" s="0" t="s">
        <v>1202</v>
      </c>
      <c r="I247" s="0" t="s">
        <v>1266</v>
      </c>
      <c r="J247" s="0" t="s">
        <v>1267</v>
      </c>
      <c r="K247" s="0" t="s">
        <v>1268</v>
      </c>
      <c r="L247" s="0" t="e">
        <f aca="false">#N/A</f>
        <v>#N/A</v>
      </c>
      <c r="M247" s="0" t="s">
        <v>26</v>
      </c>
      <c r="N247" s="0" t="s">
        <v>26</v>
      </c>
      <c r="O247" s="0" t="s">
        <v>26</v>
      </c>
      <c r="P247" s="0" t="s">
        <v>26</v>
      </c>
      <c r="Q247" s="1" t="b">
        <f aca="false">FALSE()</f>
        <v>0</v>
      </c>
      <c r="R247" s="0" t="e">
        <f aca="false">#N/A</f>
        <v>#N/A</v>
      </c>
      <c r="S247" s="0" t="e">
        <f aca="false">#N/A</f>
        <v>#N/A</v>
      </c>
      <c r="T247" s="2" t="s">
        <v>1269</v>
      </c>
    </row>
    <row r="248" customFormat="false" ht="15.85" hidden="false" customHeight="true" outlineLevel="0" collapsed="false">
      <c r="A248" s="0" t="s">
        <v>1270</v>
      </c>
      <c r="B248" s="0" t="e">
        <f aca="false">#N/A</f>
        <v>#N/A</v>
      </c>
      <c r="C248" s="0" t="e">
        <f aca="false">#N/A</f>
        <v>#N/A</v>
      </c>
      <c r="D248" s="0" t="e">
        <f aca="false">#N/A</f>
        <v>#N/A</v>
      </c>
      <c r="E248" s="0" t="e">
        <f aca="false">#N/A</f>
        <v>#N/A</v>
      </c>
      <c r="F248" s="0" t="s">
        <v>1174</v>
      </c>
      <c r="G248" s="0" t="s">
        <v>1271</v>
      </c>
      <c r="H248" s="0" t="s">
        <v>1188</v>
      </c>
      <c r="I248" s="0" t="s">
        <v>1272</v>
      </c>
      <c r="J248" s="0" t="s">
        <v>1273</v>
      </c>
      <c r="K248" s="0" t="s">
        <v>1274</v>
      </c>
      <c r="L248" s="0" t="e">
        <f aca="false">#N/A</f>
        <v>#N/A</v>
      </c>
      <c r="M248" s="0" t="s">
        <v>26</v>
      </c>
      <c r="N248" s="0" t="s">
        <v>26</v>
      </c>
      <c r="O248" s="0" t="s">
        <v>26</v>
      </c>
      <c r="P248" s="0" t="s">
        <v>26</v>
      </c>
      <c r="Q248" s="1" t="b">
        <f aca="false">FALSE()</f>
        <v>0</v>
      </c>
      <c r="R248" s="0" t="e">
        <f aca="false">#N/A</f>
        <v>#N/A</v>
      </c>
      <c r="S248" s="0" t="e">
        <f aca="false">#N/A</f>
        <v>#N/A</v>
      </c>
      <c r="T248" s="0" t="e">
        <f aca="false">#N/A</f>
        <v>#N/A</v>
      </c>
    </row>
    <row r="249" customFormat="false" ht="15.85" hidden="false" customHeight="true" outlineLevel="0" collapsed="false">
      <c r="A249" s="0" t="s">
        <v>1275</v>
      </c>
      <c r="B249" s="0" t="e">
        <f aca="false">#N/A</f>
        <v>#N/A</v>
      </c>
      <c r="C249" s="0" t="e">
        <f aca="false">#N/A</f>
        <v>#N/A</v>
      </c>
      <c r="D249" s="0" t="e">
        <f aca="false">#N/A</f>
        <v>#N/A</v>
      </c>
      <c r="E249" s="0" t="e">
        <f aca="false">#N/A</f>
        <v>#N/A</v>
      </c>
      <c r="F249" s="0" t="s">
        <v>1174</v>
      </c>
      <c r="G249" s="0" t="s">
        <v>1276</v>
      </c>
      <c r="H249" s="0" t="s">
        <v>1188</v>
      </c>
      <c r="I249" s="0" t="s">
        <v>1277</v>
      </c>
      <c r="J249" s="0" t="s">
        <v>1278</v>
      </c>
      <c r="K249" s="0" t="s">
        <v>1274</v>
      </c>
      <c r="L249" s="0" t="e">
        <f aca="false">#N/A</f>
        <v>#N/A</v>
      </c>
      <c r="M249" s="0" t="s">
        <v>26</v>
      </c>
      <c r="N249" s="0" t="s">
        <v>26</v>
      </c>
      <c r="O249" s="0" t="s">
        <v>26</v>
      </c>
      <c r="P249" s="0" t="s">
        <v>26</v>
      </c>
      <c r="Q249" s="1" t="b">
        <f aca="false">FALSE()</f>
        <v>0</v>
      </c>
      <c r="R249" s="0" t="e">
        <f aca="false">#N/A</f>
        <v>#N/A</v>
      </c>
      <c r="S249" s="0" t="e">
        <f aca="false">#N/A</f>
        <v>#N/A</v>
      </c>
      <c r="T249" s="0" t="e">
        <f aca="false">#N/A</f>
        <v>#N/A</v>
      </c>
    </row>
    <row r="250" customFormat="false" ht="15.85" hidden="false" customHeight="true" outlineLevel="0" collapsed="false">
      <c r="A250" s="0" t="s">
        <v>1279</v>
      </c>
      <c r="B250" s="0" t="e">
        <f aca="false">#N/A</f>
        <v>#N/A</v>
      </c>
      <c r="C250" s="0" t="e">
        <f aca="false">#N/A</f>
        <v>#N/A</v>
      </c>
      <c r="D250" s="0" t="e">
        <f aca="false">#N/A</f>
        <v>#N/A</v>
      </c>
      <c r="E250" s="0" t="e">
        <f aca="false">#N/A</f>
        <v>#N/A</v>
      </c>
      <c r="F250" s="0" t="s">
        <v>1174</v>
      </c>
      <c r="G250" s="0" t="s">
        <v>1280</v>
      </c>
      <c r="H250" s="0" t="s">
        <v>1281</v>
      </c>
      <c r="I250" s="0" t="s">
        <v>1282</v>
      </c>
      <c r="J250" s="0" t="s">
        <v>1283</v>
      </c>
      <c r="K250" s="0" t="s">
        <v>1284</v>
      </c>
      <c r="L250" s="0" t="e">
        <f aca="false">#N/A</f>
        <v>#N/A</v>
      </c>
      <c r="M250" s="0" t="s">
        <v>26</v>
      </c>
      <c r="N250" s="0" t="s">
        <v>26</v>
      </c>
      <c r="O250" s="0" t="s">
        <v>26</v>
      </c>
      <c r="P250" s="0" t="s">
        <v>26</v>
      </c>
      <c r="Q250" s="1" t="b">
        <f aca="false">FALSE()</f>
        <v>0</v>
      </c>
      <c r="R250" s="0" t="e">
        <f aca="false">#N/A</f>
        <v>#N/A</v>
      </c>
      <c r="S250" s="0" t="e">
        <f aca="false">#N/A</f>
        <v>#N/A</v>
      </c>
      <c r="T250" s="0" t="e">
        <f aca="false">#N/A</f>
        <v>#N/A</v>
      </c>
    </row>
    <row r="251" customFormat="false" ht="15.85" hidden="false" customHeight="true" outlineLevel="0" collapsed="false">
      <c r="A251" s="0" t="s">
        <v>1285</v>
      </c>
      <c r="B251" s="0" t="e">
        <f aca="false">#N/A</f>
        <v>#N/A</v>
      </c>
      <c r="C251" s="0" t="e">
        <f aca="false">#N/A</f>
        <v>#N/A</v>
      </c>
      <c r="D251" s="0" t="e">
        <f aca="false">#N/A</f>
        <v>#N/A</v>
      </c>
      <c r="E251" s="0" t="e">
        <f aca="false">#N/A</f>
        <v>#N/A</v>
      </c>
      <c r="F251" s="0" t="s">
        <v>1174</v>
      </c>
      <c r="G251" s="0" t="s">
        <v>1286</v>
      </c>
      <c r="H251" s="0" t="s">
        <v>1287</v>
      </c>
      <c r="I251" s="0" t="s">
        <v>1288</v>
      </c>
      <c r="J251" s="0" t="s">
        <v>1289</v>
      </c>
      <c r="K251" s="0" t="s">
        <v>1290</v>
      </c>
      <c r="L251" s="0" t="e">
        <f aca="false">#N/A</f>
        <v>#N/A</v>
      </c>
      <c r="M251" s="0" t="s">
        <v>26</v>
      </c>
      <c r="N251" s="0" t="s">
        <v>26</v>
      </c>
      <c r="O251" s="0" t="s">
        <v>26</v>
      </c>
      <c r="P251" s="0" t="s">
        <v>26</v>
      </c>
      <c r="Q251" s="1" t="b">
        <f aca="false">FALSE()</f>
        <v>0</v>
      </c>
      <c r="R251" s="0" t="e">
        <f aca="false">#N/A</f>
        <v>#N/A</v>
      </c>
      <c r="S251" s="0" t="e">
        <f aca="false">#N/A</f>
        <v>#N/A</v>
      </c>
      <c r="T251" s="0" t="e">
        <f aca="false">#N/A</f>
        <v>#N/A</v>
      </c>
    </row>
    <row r="252" customFormat="false" ht="15.85" hidden="false" customHeight="true" outlineLevel="0" collapsed="false">
      <c r="A252" s="0" t="s">
        <v>1291</v>
      </c>
      <c r="B252" s="0" t="e">
        <f aca="false">#N/A</f>
        <v>#N/A</v>
      </c>
      <c r="C252" s="0" t="e">
        <f aca="false">#N/A</f>
        <v>#N/A</v>
      </c>
      <c r="D252" s="0" t="e">
        <f aca="false">#N/A</f>
        <v>#N/A</v>
      </c>
      <c r="E252" s="0" t="e">
        <f aca="false">#N/A</f>
        <v>#N/A</v>
      </c>
      <c r="F252" s="0" t="s">
        <v>1174</v>
      </c>
      <c r="G252" s="0" t="s">
        <v>1292</v>
      </c>
      <c r="H252" s="0" t="s">
        <v>1293</v>
      </c>
      <c r="I252" s="0" t="s">
        <v>1294</v>
      </c>
      <c r="J252" s="0" t="s">
        <v>1295</v>
      </c>
      <c r="K252" s="0" t="s">
        <v>1290</v>
      </c>
      <c r="L252" s="0" t="e">
        <f aca="false">#N/A</f>
        <v>#N/A</v>
      </c>
      <c r="M252" s="0" t="s">
        <v>26</v>
      </c>
      <c r="N252" s="0" t="s">
        <v>26</v>
      </c>
      <c r="O252" s="0" t="s">
        <v>26</v>
      </c>
      <c r="P252" s="0" t="s">
        <v>26</v>
      </c>
      <c r="Q252" s="1" t="b">
        <f aca="false">FALSE()</f>
        <v>0</v>
      </c>
      <c r="R252" s="0" t="e">
        <f aca="false">#N/A</f>
        <v>#N/A</v>
      </c>
      <c r="S252" s="0" t="e">
        <f aca="false">#N/A</f>
        <v>#N/A</v>
      </c>
      <c r="T252" s="0" t="e">
        <f aca="false">#N/A</f>
        <v>#N/A</v>
      </c>
    </row>
    <row r="253" customFormat="false" ht="15.85" hidden="false" customHeight="true" outlineLevel="0" collapsed="false">
      <c r="A253" s="0" t="s">
        <v>1296</v>
      </c>
      <c r="B253" s="0" t="e">
        <f aca="false">#N/A</f>
        <v>#N/A</v>
      </c>
      <c r="C253" s="0" t="e">
        <f aca="false">#N/A</f>
        <v>#N/A</v>
      </c>
      <c r="D253" s="0" t="e">
        <f aca="false">#N/A</f>
        <v>#N/A</v>
      </c>
      <c r="E253" s="0" t="e">
        <f aca="false">#N/A</f>
        <v>#N/A</v>
      </c>
      <c r="F253" s="0" t="s">
        <v>1174</v>
      </c>
      <c r="G253" s="0" t="s">
        <v>1297</v>
      </c>
      <c r="H253" s="0" t="s">
        <v>1298</v>
      </c>
      <c r="I253" s="0" t="s">
        <v>1299</v>
      </c>
      <c r="J253" s="0" t="s">
        <v>1300</v>
      </c>
      <c r="K253" s="0" t="s">
        <v>1301</v>
      </c>
      <c r="L253" s="0" t="e">
        <f aca="false">#N/A</f>
        <v>#N/A</v>
      </c>
      <c r="M253" s="0" t="s">
        <v>26</v>
      </c>
      <c r="N253" s="0" t="s">
        <v>26</v>
      </c>
      <c r="O253" s="0" t="s">
        <v>26</v>
      </c>
      <c r="P253" s="0" t="s">
        <v>26</v>
      </c>
      <c r="Q253" s="1" t="b">
        <f aca="false">FALSE()</f>
        <v>0</v>
      </c>
      <c r="R253" s="0" t="e">
        <f aca="false">#N/A</f>
        <v>#N/A</v>
      </c>
      <c r="S253" s="0" t="e">
        <f aca="false">#N/A</f>
        <v>#N/A</v>
      </c>
      <c r="T253" s="0" t="e">
        <f aca="false">#N/A</f>
        <v>#N/A</v>
      </c>
    </row>
    <row r="254" customFormat="false" ht="15.85" hidden="false" customHeight="true" outlineLevel="0" collapsed="false">
      <c r="A254" s="0" t="s">
        <v>1302</v>
      </c>
      <c r="B254" s="0" t="e">
        <f aca="false">#N/A</f>
        <v>#N/A</v>
      </c>
      <c r="C254" s="0" t="e">
        <f aca="false">#N/A</f>
        <v>#N/A</v>
      </c>
      <c r="D254" s="0" t="e">
        <f aca="false">#N/A</f>
        <v>#N/A</v>
      </c>
      <c r="E254" s="0" t="e">
        <f aca="false">#N/A</f>
        <v>#N/A</v>
      </c>
      <c r="F254" s="0" t="s">
        <v>1174</v>
      </c>
      <c r="G254" s="0" t="s">
        <v>1303</v>
      </c>
      <c r="H254" s="0" t="s">
        <v>1304</v>
      </c>
      <c r="I254" s="0" t="s">
        <v>1305</v>
      </c>
      <c r="J254" s="0" t="s">
        <v>1306</v>
      </c>
      <c r="K254" s="0" t="s">
        <v>1307</v>
      </c>
      <c r="L254" s="0" t="e">
        <f aca="false">#N/A</f>
        <v>#N/A</v>
      </c>
      <c r="M254" s="0" t="s">
        <v>26</v>
      </c>
      <c r="N254" s="0" t="s">
        <v>26</v>
      </c>
      <c r="O254" s="0" t="s">
        <v>26</v>
      </c>
      <c r="P254" s="0" t="s">
        <v>26</v>
      </c>
      <c r="Q254" s="1" t="b">
        <f aca="false">FALSE()</f>
        <v>0</v>
      </c>
      <c r="R254" s="0" t="e">
        <f aca="false">#N/A</f>
        <v>#N/A</v>
      </c>
      <c r="S254" s="0" t="e">
        <f aca="false">#N/A</f>
        <v>#N/A</v>
      </c>
      <c r="T254" s="0" t="e">
        <f aca="false">#N/A</f>
        <v>#N/A</v>
      </c>
    </row>
    <row r="255" customFormat="false" ht="15.85" hidden="false" customHeight="true" outlineLevel="0" collapsed="false">
      <c r="A255" s="0" t="s">
        <v>1308</v>
      </c>
      <c r="B255" s="0" t="e">
        <f aca="false">#N/A</f>
        <v>#N/A</v>
      </c>
      <c r="C255" s="0" t="e">
        <f aca="false">#N/A</f>
        <v>#N/A</v>
      </c>
      <c r="D255" s="0" t="e">
        <f aca="false">#N/A</f>
        <v>#N/A</v>
      </c>
      <c r="E255" s="0" t="e">
        <f aca="false">#N/A</f>
        <v>#N/A</v>
      </c>
      <c r="F255" s="0" t="s">
        <v>1174</v>
      </c>
      <c r="G255" s="0" t="s">
        <v>1309</v>
      </c>
      <c r="H255" s="0" t="s">
        <v>1258</v>
      </c>
      <c r="I255" s="0" t="s">
        <v>1310</v>
      </c>
      <c r="J255" s="0" t="s">
        <v>1311</v>
      </c>
      <c r="K255" s="0" t="s">
        <v>1312</v>
      </c>
      <c r="L255" s="0" t="e">
        <f aca="false">#N/A</f>
        <v>#N/A</v>
      </c>
      <c r="M255" s="0" t="s">
        <v>26</v>
      </c>
      <c r="N255" s="0" t="s">
        <v>26</v>
      </c>
      <c r="O255" s="0" t="s">
        <v>26</v>
      </c>
      <c r="P255" s="0" t="s">
        <v>26</v>
      </c>
      <c r="Q255" s="1" t="b">
        <f aca="false">FALSE()</f>
        <v>0</v>
      </c>
      <c r="R255" s="0" t="e">
        <f aca="false">#N/A</f>
        <v>#N/A</v>
      </c>
      <c r="S255" s="0" t="e">
        <f aca="false">#N/A</f>
        <v>#N/A</v>
      </c>
      <c r="T255" s="0" t="e">
        <f aca="false">#N/A</f>
        <v>#N/A</v>
      </c>
    </row>
    <row r="256" customFormat="false" ht="15.85" hidden="false" customHeight="true" outlineLevel="0" collapsed="false">
      <c r="A256" s="0" t="s">
        <v>1313</v>
      </c>
      <c r="B256" s="0" t="e">
        <f aca="false">#N/A</f>
        <v>#N/A</v>
      </c>
      <c r="C256" s="0" t="e">
        <f aca="false">#N/A</f>
        <v>#N/A</v>
      </c>
      <c r="D256" s="0" t="e">
        <f aca="false">#N/A</f>
        <v>#N/A</v>
      </c>
      <c r="E256" s="0" t="e">
        <f aca="false">#N/A</f>
        <v>#N/A</v>
      </c>
      <c r="F256" s="0" t="s">
        <v>1174</v>
      </c>
      <c r="G256" s="0" t="s">
        <v>1314</v>
      </c>
      <c r="H256" s="0" t="s">
        <v>1315</v>
      </c>
      <c r="I256" s="0" t="s">
        <v>1316</v>
      </c>
      <c r="J256" s="0" t="s">
        <v>1317</v>
      </c>
      <c r="K256" s="0" t="s">
        <v>1318</v>
      </c>
      <c r="L256" s="0" t="e">
        <f aca="false">#N/A</f>
        <v>#N/A</v>
      </c>
      <c r="M256" s="0" t="s">
        <v>26</v>
      </c>
      <c r="N256" s="0" t="s">
        <v>26</v>
      </c>
      <c r="O256" s="0" t="s">
        <v>26</v>
      </c>
      <c r="P256" s="0" t="s">
        <v>26</v>
      </c>
      <c r="Q256" s="1" t="b">
        <f aca="false">FALSE()</f>
        <v>0</v>
      </c>
      <c r="R256" s="0" t="e">
        <f aca="false">#N/A</f>
        <v>#N/A</v>
      </c>
      <c r="S256" s="0" t="e">
        <f aca="false">#N/A</f>
        <v>#N/A</v>
      </c>
      <c r="T256" s="0" t="e">
        <f aca="false">#N/A</f>
        <v>#N/A</v>
      </c>
    </row>
    <row r="257" customFormat="false" ht="15.85" hidden="false" customHeight="true" outlineLevel="0" collapsed="false">
      <c r="A257" s="0" t="s">
        <v>1319</v>
      </c>
      <c r="B257" s="0" t="e">
        <f aca="false">#N/A</f>
        <v>#N/A</v>
      </c>
      <c r="C257" s="0" t="e">
        <f aca="false">#N/A</f>
        <v>#N/A</v>
      </c>
      <c r="D257" s="0" t="e">
        <f aca="false">#N/A</f>
        <v>#N/A</v>
      </c>
      <c r="E257" s="0" t="e">
        <f aca="false">#N/A</f>
        <v>#N/A</v>
      </c>
      <c r="F257" s="0" t="s">
        <v>1174</v>
      </c>
      <c r="G257" s="0" t="s">
        <v>1320</v>
      </c>
      <c r="H257" s="0" t="s">
        <v>1321</v>
      </c>
      <c r="I257" s="0" t="s">
        <v>1322</v>
      </c>
      <c r="J257" s="0" t="s">
        <v>1323</v>
      </c>
      <c r="K257" s="0" t="s">
        <v>1324</v>
      </c>
      <c r="L257" s="0" t="e">
        <f aca="false">#N/A</f>
        <v>#N/A</v>
      </c>
      <c r="M257" s="0" t="s">
        <v>26</v>
      </c>
      <c r="N257" s="0" t="s">
        <v>26</v>
      </c>
      <c r="O257" s="0" t="s">
        <v>26</v>
      </c>
      <c r="P257" s="0" t="s">
        <v>26</v>
      </c>
      <c r="Q257" s="1" t="b">
        <f aca="false">FALSE()</f>
        <v>0</v>
      </c>
      <c r="R257" s="0" t="e">
        <f aca="false">#N/A</f>
        <v>#N/A</v>
      </c>
      <c r="S257" s="0" t="e">
        <f aca="false">#N/A</f>
        <v>#N/A</v>
      </c>
      <c r="T257" s="0" t="e">
        <f aca="false">#N/A</f>
        <v>#N/A</v>
      </c>
    </row>
    <row r="258" customFormat="false" ht="15.85" hidden="false" customHeight="true" outlineLevel="0" collapsed="false">
      <c r="A258" s="0" t="s">
        <v>1325</v>
      </c>
      <c r="B258" s="0" t="e">
        <f aca="false">#N/A</f>
        <v>#N/A</v>
      </c>
      <c r="C258" s="0" t="e">
        <f aca="false">#N/A</f>
        <v>#N/A</v>
      </c>
      <c r="D258" s="0" t="e">
        <f aca="false">#N/A</f>
        <v>#N/A</v>
      </c>
      <c r="E258" s="0" t="e">
        <f aca="false">#N/A</f>
        <v>#N/A</v>
      </c>
      <c r="F258" s="0" t="s">
        <v>1174</v>
      </c>
      <c r="G258" s="0" t="s">
        <v>1326</v>
      </c>
      <c r="H258" s="0" t="s">
        <v>1327</v>
      </c>
      <c r="I258" s="0" t="s">
        <v>1328</v>
      </c>
      <c r="J258" s="0" t="s">
        <v>1329</v>
      </c>
      <c r="K258" s="0" t="s">
        <v>1330</v>
      </c>
      <c r="L258" s="0" t="e">
        <f aca="false">#N/A</f>
        <v>#N/A</v>
      </c>
      <c r="M258" s="0" t="s">
        <v>26</v>
      </c>
      <c r="N258" s="0" t="s">
        <v>26</v>
      </c>
      <c r="O258" s="0" t="s">
        <v>26</v>
      </c>
      <c r="P258" s="0" t="s">
        <v>26</v>
      </c>
      <c r="Q258" s="1" t="b">
        <f aca="false">FALSE()</f>
        <v>0</v>
      </c>
      <c r="R258" s="0" t="e">
        <f aca="false">#N/A</f>
        <v>#N/A</v>
      </c>
      <c r="S258" s="0" t="e">
        <f aca="false">#N/A</f>
        <v>#N/A</v>
      </c>
      <c r="T258" s="0" t="e">
        <f aca="false">#N/A</f>
        <v>#N/A</v>
      </c>
    </row>
    <row r="259" customFormat="false" ht="15.85" hidden="false" customHeight="true" outlineLevel="0" collapsed="false">
      <c r="A259" s="0" t="s">
        <v>1331</v>
      </c>
      <c r="B259" s="0" t="e">
        <f aca="false">#N/A</f>
        <v>#N/A</v>
      </c>
      <c r="C259" s="0" t="e">
        <f aca="false">#N/A</f>
        <v>#N/A</v>
      </c>
      <c r="D259" s="0" t="s">
        <v>1332</v>
      </c>
      <c r="E259" s="0" t="e">
        <f aca="false">#N/A</f>
        <v>#N/A</v>
      </c>
      <c r="F259" s="0" t="s">
        <v>1333</v>
      </c>
      <c r="G259" s="0" t="s">
        <v>1334</v>
      </c>
      <c r="H259" s="0" t="s">
        <v>1335</v>
      </c>
      <c r="I259" s="0" t="s">
        <v>1336</v>
      </c>
      <c r="J259" s="0" t="s">
        <v>1337</v>
      </c>
      <c r="K259" s="0" t="e">
        <f aca="false">#N/A</f>
        <v>#N/A</v>
      </c>
      <c r="L259" s="0" t="s">
        <v>1338</v>
      </c>
      <c r="M259" s="0" t="s">
        <v>26</v>
      </c>
      <c r="N259" s="0" t="s">
        <v>26</v>
      </c>
      <c r="O259" s="0" t="s">
        <v>26</v>
      </c>
      <c r="P259" s="0" t="s">
        <v>26</v>
      </c>
      <c r="Q259" s="1" t="b">
        <f aca="false">FALSE()</f>
        <v>0</v>
      </c>
      <c r="R259" s="0" t="e">
        <f aca="false">#N/A</f>
        <v>#N/A</v>
      </c>
      <c r="S259" s="0" t="e">
        <f aca="false">#N/A</f>
        <v>#N/A</v>
      </c>
      <c r="T259" s="2" t="s">
        <v>565</v>
      </c>
    </row>
    <row r="260" customFormat="false" ht="15.85" hidden="false" customHeight="true" outlineLevel="0" collapsed="false">
      <c r="A260" s="0" t="s">
        <v>1339</v>
      </c>
      <c r="B260" s="0" t="e">
        <f aca="false">#N/A</f>
        <v>#N/A</v>
      </c>
      <c r="C260" s="0" t="e">
        <f aca="false">#N/A</f>
        <v>#N/A</v>
      </c>
      <c r="D260" s="0" t="e">
        <f aca="false">#N/A</f>
        <v>#N/A</v>
      </c>
      <c r="E260" s="0" t="e">
        <f aca="false">#N/A</f>
        <v>#N/A</v>
      </c>
      <c r="F260" s="0" t="s">
        <v>1333</v>
      </c>
      <c r="G260" s="0" t="s">
        <v>1340</v>
      </c>
      <c r="H260" s="0" t="s">
        <v>1341</v>
      </c>
      <c r="I260" s="0" t="s">
        <v>1342</v>
      </c>
      <c r="J260" s="0" t="s">
        <v>1343</v>
      </c>
      <c r="K260" s="0" t="e">
        <f aca="false">#N/A</f>
        <v>#N/A</v>
      </c>
      <c r="L260" s="0" t="s">
        <v>1344</v>
      </c>
      <c r="M260" s="0" t="s">
        <v>26</v>
      </c>
      <c r="N260" s="0" t="s">
        <v>26</v>
      </c>
      <c r="O260" s="0" t="s">
        <v>26</v>
      </c>
      <c r="P260" s="0" t="s">
        <v>26</v>
      </c>
      <c r="Q260" s="1" t="b">
        <f aca="false">FALSE()</f>
        <v>0</v>
      </c>
      <c r="R260" s="0" t="e">
        <f aca="false">#N/A</f>
        <v>#N/A</v>
      </c>
      <c r="S260" s="0" t="e">
        <f aca="false">#N/A</f>
        <v>#N/A</v>
      </c>
      <c r="T260" s="0" t="e">
        <f aca="false">#N/A</f>
        <v>#N/A</v>
      </c>
    </row>
    <row r="261" customFormat="false" ht="15.85" hidden="false" customHeight="true" outlineLevel="0" collapsed="false">
      <c r="A261" s="0" t="s">
        <v>1345</v>
      </c>
      <c r="B261" s="0" t="e">
        <f aca="false">#N/A</f>
        <v>#N/A</v>
      </c>
      <c r="C261" s="0" t="e">
        <f aca="false">#N/A</f>
        <v>#N/A</v>
      </c>
      <c r="D261" s="0" t="s">
        <v>1346</v>
      </c>
      <c r="E261" s="0" t="e">
        <f aca="false">#N/A</f>
        <v>#N/A</v>
      </c>
      <c r="F261" s="0" t="s">
        <v>1333</v>
      </c>
      <c r="G261" s="0" t="s">
        <v>1347</v>
      </c>
      <c r="H261" s="0" t="s">
        <v>1348</v>
      </c>
      <c r="I261" s="0" t="s">
        <v>1349</v>
      </c>
      <c r="J261" s="0" t="s">
        <v>1350</v>
      </c>
      <c r="K261" s="0" t="e">
        <f aca="false">#N/A</f>
        <v>#N/A</v>
      </c>
      <c r="L261" s="0" t="s">
        <v>1351</v>
      </c>
      <c r="M261" s="0" t="s">
        <v>26</v>
      </c>
      <c r="N261" s="0" t="s">
        <v>26</v>
      </c>
      <c r="O261" s="0" t="s">
        <v>26</v>
      </c>
      <c r="P261" s="0" t="s">
        <v>26</v>
      </c>
      <c r="Q261" s="1" t="b">
        <f aca="false">FALSE()</f>
        <v>0</v>
      </c>
      <c r="R261" s="0" t="e">
        <f aca="false">#N/A</f>
        <v>#N/A</v>
      </c>
      <c r="S261" s="0" t="e">
        <f aca="false">#N/A</f>
        <v>#N/A</v>
      </c>
      <c r="T261" s="2" t="s">
        <v>1352</v>
      </c>
    </row>
    <row r="262" customFormat="false" ht="15.85" hidden="false" customHeight="true" outlineLevel="0" collapsed="false">
      <c r="A262" s="0" t="s">
        <v>1353</v>
      </c>
      <c r="B262" s="0" t="e">
        <f aca="false">#N/A</f>
        <v>#N/A</v>
      </c>
      <c r="C262" s="0" t="e">
        <f aca="false">#N/A</f>
        <v>#N/A</v>
      </c>
      <c r="D262" s="0" t="s">
        <v>1354</v>
      </c>
      <c r="E262" s="0" t="e">
        <f aca="false">#N/A</f>
        <v>#N/A</v>
      </c>
      <c r="F262" s="0" t="s">
        <v>1333</v>
      </c>
      <c r="G262" s="0" t="s">
        <v>1355</v>
      </c>
      <c r="H262" s="0" t="s">
        <v>1356</v>
      </c>
      <c r="I262" s="0" t="s">
        <v>1357</v>
      </c>
      <c r="J262" s="0" t="s">
        <v>1358</v>
      </c>
      <c r="K262" s="0" t="e">
        <f aca="false">#N/A</f>
        <v>#N/A</v>
      </c>
      <c r="L262" s="0" t="s">
        <v>1359</v>
      </c>
      <c r="M262" s="0" t="s">
        <v>26</v>
      </c>
      <c r="N262" s="0" t="s">
        <v>26</v>
      </c>
      <c r="O262" s="0" t="s">
        <v>26</v>
      </c>
      <c r="P262" s="0" t="s">
        <v>26</v>
      </c>
      <c r="Q262" s="1" t="b">
        <f aca="false">FALSE()</f>
        <v>0</v>
      </c>
      <c r="R262" s="0" t="e">
        <f aca="false">#N/A</f>
        <v>#N/A</v>
      </c>
      <c r="S262" s="0" t="e">
        <f aca="false">#N/A</f>
        <v>#N/A</v>
      </c>
      <c r="T262" s="2" t="s">
        <v>1360</v>
      </c>
    </row>
    <row r="263" customFormat="false" ht="15.85" hidden="false" customHeight="true" outlineLevel="0" collapsed="false">
      <c r="A263" s="0" t="s">
        <v>1361</v>
      </c>
      <c r="B263" s="0" t="e">
        <f aca="false">#N/A</f>
        <v>#N/A</v>
      </c>
      <c r="C263" s="0" t="e">
        <f aca="false">#N/A</f>
        <v>#N/A</v>
      </c>
      <c r="D263" s="0" t="e">
        <f aca="false">#N/A</f>
        <v>#N/A</v>
      </c>
      <c r="E263" s="0" t="e">
        <f aca="false">#N/A</f>
        <v>#N/A</v>
      </c>
      <c r="F263" s="0" t="s">
        <v>1333</v>
      </c>
      <c r="G263" s="0" t="s">
        <v>1362</v>
      </c>
      <c r="H263" s="0" t="s">
        <v>1363</v>
      </c>
      <c r="I263" s="0" t="s">
        <v>1364</v>
      </c>
      <c r="J263" s="0" t="s">
        <v>1365</v>
      </c>
      <c r="K263" s="0" t="e">
        <f aca="false">#N/A</f>
        <v>#N/A</v>
      </c>
      <c r="L263" s="0" t="s">
        <v>1366</v>
      </c>
      <c r="M263" s="0" t="s">
        <v>26</v>
      </c>
      <c r="N263" s="0" t="s">
        <v>26</v>
      </c>
      <c r="O263" s="0" t="s">
        <v>26</v>
      </c>
      <c r="P263" s="0" t="s">
        <v>26</v>
      </c>
      <c r="Q263" s="1" t="b">
        <f aca="false">FALSE()</f>
        <v>0</v>
      </c>
      <c r="R263" s="0" t="e">
        <f aca="false">#N/A</f>
        <v>#N/A</v>
      </c>
      <c r="S263" s="0" t="e">
        <f aca="false">#N/A</f>
        <v>#N/A</v>
      </c>
      <c r="T263" s="0" t="e">
        <f aca="false">#N/A</f>
        <v>#N/A</v>
      </c>
    </row>
    <row r="1048576" customFormat="false" ht="12.8" hidden="false" customHeight="true" outlineLevel="0" collapsed="false"/>
  </sheetData>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2026-02-13T08:11:27Z</dcterms:created>
  <dc:creator>rafrombec</dc:creator>
  <dc:description/>
  <dc:language>en-GB</dc:language>
  <cp:lastModifiedBy>Rafael Romero Becerra</cp:lastModifiedBy>
  <dcterms:modified xsi:type="dcterms:W3CDTF">2026-02-13T11:28:58Z</dcterms:modified>
  <cp:revision>1</cp:revision>
  <dc:subject/>
  <dc:title/>
</cp:coreProperties>
</file>