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 1" sheetId="1" state="visible" r:id="rId3"/>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<sst xmlns="http://schemas.openxmlformats.org/spreadsheetml/2006/main" count="873" uniqueCount="390">
  <si>
    <t xml:space="preserve">title</t>
  </si>
  <si>
    <t xml:space="preserve">description</t>
  </si>
  <si>
    <t xml:space="preserve">url</t>
  </si>
  <si>
    <t xml:space="preserve">date</t>
  </si>
  <si>
    <t xml:space="preserve">type</t>
  </si>
  <si>
    <t xml:space="preserve">query_text</t>
  </si>
  <si>
    <t xml:space="preserve">drug_name</t>
  </si>
  <si>
    <t xml:space="preserve">AA_indication</t>
  </si>
  <si>
    <t xml:space="preserve">AA_date</t>
  </si>
  <si>
    <t xml:space="preserve">TA_date</t>
  </si>
  <si>
    <t xml:space="preserve">withdrawal_date</t>
  </si>
  <si>
    <t xml:space="preserve">qwen3_8b</t>
  </si>
  <si>
    <t xml:space="preserve">deepseek_r1_8b</t>
  </si>
  <si>
    <t xml:space="preserve">phi4</t>
  </si>
  <si>
    <t xml:space="preserve">ensemble</t>
  </si>
  <si>
    <t xml:space="preserve">disagreement</t>
  </si>
  <si>
    <t xml:space="preserve">ensemble_corrected</t>
  </si>
  <si>
    <t xml:space="preserve">comments</t>
  </si>
  <si>
    <t xml:space="preserve">full_text</t>
  </si>
  <si>
    <t xml:space="preserve">row_ID</t>
  </si>
  <si>
    <t xml:space="preserve">nct</t>
  </si>
  <si>
    <t xml:space="preserve">llama3.1_8b_instruct_q4_K_M</t>
  </si>
  <si>
    <t xml:space="preserve">qwen3_4b_instruct_2507_q8_0</t>
  </si>
  <si>
    <t xml:space="preserve">FDA grants accelerated approval to adagrasib with cetuximab for KRAS G12C-mutated colorectal cancer</t>
  </si>
  <si>
    <t xml:space="preserve">On June 21, 2024, the Food and Drug Administration granted accelerated approval to adagrasib (Krazati; Mirati Therapeutics, Inc.) plus cetuximab for adults with KRAS G12C-mutated locally advanced or metastatic colorectal cancer (CRC), as determined by an FDA-approved test, who have received prior treatment with fluoropyrimidine-, oxaliplatin-, and irinotecan-based chemotherapy.</t>
  </si>
  <si>
    <t xml:space="preserve">https://www.fda.gov/drugs/resources-information-approved-drugs/fda-grants-accelerated-approval-adagrasib-cetuximab-kras-g12c-mutated-colorectal-cancer</t>
  </si>
  <si>
    <t xml:space="preserve">6/21/2024</t>
  </si>
  <si>
    <t xml:space="preserve">ApprovalNotifications</t>
  </si>
  <si>
    <t xml:space="preserve">combination</t>
  </si>
  <si>
    <t xml:space="preserve">FDA grants accelerated approval to adagrasib with cetuximab for KRAS G12C-mutated colorectal cancer
Resources for Information | Approved Drugs
Oncology (Cancer)/Hematologic Malignancies Approval Notifications
Ongoing | Cancer Accelerated Approvals
Verified Clinical Benefit | Cancer Accelerated Approvals
Withdrawn | Cancer Accelerated Approvals
Other | Cancer Accelerated Approvals
On June 21, 2024, the Food and Drug Administration granted accelerated approval to adagrasib (Krazati; Mirati Therapeutics, Inc.) plus cetuximab for adults with KRAS G12C-mutated locally advanced or metastatic colorectal cancer (CRC), as determined by an FDA-approved test, who have received prior treatment with fluoropyrimidine-, oxaliplatin-, and irinotecan-based chemotherapy.
Full prescribing information for Krazati will be posted on Drugs@FDA. 
Efficacy and Safety
Efficacy was evaluated in KRYSTAL-1, a multicenter, single-arm expansion cohort trial. Eligible patients were required to have locally advanced or metastatic KRAS G12C-mutated CRC previously treated with fluoropyrimidine-, oxaliplatin-, and irinotecan-based chemotherapy, and a VEGF inhibitor, if eligible. Patients were treated with adagrasib 600 mg twice daily plus cetuximab administered either biweekly (500 mg/m2 every two weeks) or weekly (400 mg/m2 initial dose followed by 250 mg/m2 weekly). Tumor assessments were performed every 6 weeks. Adagrasib discontinuation required cetuximab discontinuation, however patients could continue adagrasib if cetuximab was discontinued.
The major efficacy outcome measures were confirmed overall response rate (ORR) and duration of response (DOR) according to RECIST v1.1 assessed by blinded independent central review. In the 94 enrolled patients, ORR was 34% (95% CI: 25%, 45%), all responses were partial responses, and median DOR was 5.8 months (95% CI: 4.2, 7.6). Thirty-one percent of responding patients had a DOR of at least 6 months.
The most common adverse reactions (≥20%) were rash, nausea, diarrhea, vomiting, fatigue, musculoskeletal pain, hepatotoxicity, headache, dry skin, abdominal pain, decreased appetite, edema, anemia, cough, dizziness, constipation, and peripheral neuropathy.
The recommended adagrasib dose is 600 mg orally twice daily until disease progression or unacceptable toxicity. Refer to the cetuximab prescribing information for cetuximab dosage information.
Expedited Programs
This application was granted priority review and breakthrough therapy designation. FDA expedited programs are described in the Guidance for Industry: Expedited Programs for Serious Conditions-Drugs and Biologics.
Healthcare professionals should report all serious adverse events suspected to be associated with the use of any medicine and device to FDA’s MedWatch Reporting System or by calling 1-800-FDA-1088.
For assistance with single-patient INDs for investigational oncology products, healthcare professionals may contact OCE’s Project Facilitate at 240-402-0004 or email OncProjectFacilitate@fda.hhs.gov.
Follow the Oncology Center of Excellence on X @FDAOncology.
Content current as of:
06/21/2024
Regulated Product(s)
Drugs</t>
  </si>
  <si>
    <t xml:space="preserve">study_ 31</t>
  </si>
  <si>
    <t xml:space="preserve">NCT03785249</t>
  </si>
  <si>
    <t xml:space="preserve">KRYSTAL-1;NONE</t>
  </si>
  <si>
    <t xml:space="preserve">KRYSTAL-1</t>
  </si>
  <si>
    <t xml:space="preserve">FDA approves brentuximab vedotin in combination with chemotherapy for pediatric patients with classical Hodgkin lymphoma</t>
  </si>
  <si>
    <t xml:space="preserve">On November 10, 2022, the Food and Drug Administration approved brentuximab vedotin (Adcetris, Seagen, Inc.) in combination with doxorubicin, vincristine, etoposide, prednisone, and cyclophosphamide for pediatric patients 2 years of age and older with previously untreated high risk classical Hodgkin lymphoma (cHL). This is the first pediatric approval for brentuximab vedotin.</t>
  </si>
  <si>
    <t xml:space="preserve">https://www.fda.gov/drugs/resources-information-approved-drugs/fda-approves-brentuximab-vedotin-combination-chemotherapy-pediatric-patients-classical-hodgkin</t>
  </si>
  <si>
    <t xml:space="preserve">11/10/2022</t>
  </si>
  <si>
    <t xml:space="preserve">FDA approves brentuximab vedotin in combination with chemotherapy for pediatric patients with classical Hodgkin lymphoma
Resources for Information | Approved Drugs
Oncology (Cancer)/Hematologic Malignancies Approval Notifications
Ongoing | Cancer Accelerated Approvals
Verified Clinical Benefit | Cancer Accelerated Approvals
Withdrawn | Cancer Accelerated Approvals
Other | Cancer Accelerated Approvals
On November 10, 2022, the Food and Drug Administration approved brentuximab vedotin (Adcetris, Seagen, Inc.) in combination with doxorubicin, vincristine, etoposide, prednisone, and cyclophosphamide for pediatric patients 2 years of age and older with previously untreated high risk classical Hodgkin lymphoma (cHL). This is the first pediatric approval for brentuximab vedotin.
Efficacy was evaluated in a randomized, open-label, actively controlled trial. High risk was identified as Ann Arbor Stage IIB with bulk disease, Stage IIIB, Stage IVA, and Stage IVB. Of the 600 total patients randomized, 300 were randomized to brentuximab vedotin plus doxorubicin (A), vincristine (V), etoposide (E), prednisone (P), and cyclophosphamide (C) [brentuximab vedotin + AVEPC], and 300 patients were randomized to A+bleomycin (B)+V+E+P+C [ABVE-PC] arm. Patients in each treatment arm received up to 5 cycles of the following:
Brentuximab vedotin + AVEPC arm: brentuximab vedotin 1.8 mg/kg over 30 minutes (day 1), doxorubicin 25 mg/m2 (days 1 and 2), vincristine 1.4 mg/m2 (day 8), etoposide 125 mg/m2(days 1-3), prednisone 20 mg/m2 BID (days 1-7), cyclophosphamide 600 mg/m2 (days 1 and 2); or
ABVE-PC arm: doxorubicin 25 mg/m2 (days 1 and 2), bleomycin 5 units/m2 (day1) and 10 units/m2 (day 8), vincristine 1.4 mg/m2 (days 1 and 8), etoposide 125 mg/m2 (days 1-3), prednisone 20 mg/m2 BID (days 1-7), cyclophosphamide 600 mg/m2 (days 1 and 2).
The main efficacy outcome measure was event-free survival (EFS), defined as the time from randomization to the earliest of disease progression or relapse, second malignancy, or death due to any cause. Median EFS was not reached in either arm. There were 23 events (8%) in the brentuximab vedotin + AVEPC arm and 52 events (17%) in the ABVE-PC arm with a corresponding hazard ratio of 0.41 (95% CI: 0.25, 0.67; p=0.0002).
The most common Grade ≥3 adverse reactions (≥5%) in pediatric patients treated with brentuximab vedotin in combination with AVEPC were neutropenia, anemia, thrombocytopenia, febrile neutropenia, stomatitis, and infection.
The recommended brentuximab vedotin dose for pediatric patients 2 years of age and older is 1.8 mg/kg up to a maximum of 180 mg in combination with AVEPC every 3 weeks for a maximum of 5 doses.
View full prescribing information for Adcetris.
This review used the Assessment Aid, a voluntary submission from the applicant to facilitate the FDA’s assessment.
This application was granted priority review. A description of FDA expedited programs is in the Guidance for Industry: Expedited Programs for Serious Conditions-Drugs and Biologics. Brentuximab vedotin has orphan drug designation for the treatment of Hodgkin lymphoma.
Healthcare professionals should report all serious adverse events suspected to be associated with the use of any medicine and device to FDA’s MedWatch Reporting System or by calling 1-800-FDA-1088.
For assistance with single-patient INDs for investigational oncology products, healthcare professionals may contact OCE’s Project Facilitate at 240-402-0004 or email OncProjectFacilitate@fda.hhs.gov.
For information on the COVID-19 pandemic, see the following resources:
FDA: Coronavirus Disease 2019 (COVID-19)
NCI: Coronavirus: What People With Cancer Should Know
CDC: Coronavirus (COVID-19)
Follow the Oncology Center of Excellence on Twitter @FDAOncology.
Content current as of:
11/10/2022
Regulated Product(s)
Drugs</t>
  </si>
  <si>
    <t xml:space="preserve">study_ 63</t>
  </si>
  <si>
    <t xml:space="preserve">NONE</t>
  </si>
  <si>
    <t xml:space="preserve">FDA issues alert about efficacy and potential safety concerns with atezolizumab in combination with paclitaxel for treatment of breast cancer </t>
  </si>
  <si>
    <t xml:space="preserve">Food and Drug Administration alerted health care professionals and oncology clinical investigators about efficacy and potential safety concerns with atezolizumab in combination with paclitaxel for treatment of breast cancer. </t>
  </si>
  <si>
    <t xml:space="preserve">https://www.fda.gov/drugs/resources-information-approved-drugs/fda-issues-alert-about-efficacy-and-potential-safety-concerns-atezolizumab-combination-paclitaxel</t>
  </si>
  <si>
    <t xml:space="preserve">9/8/2020</t>
  </si>
  <si>
    <t xml:space="preserve">FDA issues alert about efficacy and potential safety concerns with atezolizumab in combination with paclitaxel for treatment of breast cancer 
Resources for Information | Approved Drugs
Oncology (Cancer)/Hematologic Malignancies Approval Notifications
Ongoing | Cancer Accelerated Approvals
Verified Clinical Benefit | Cancer Accelerated Approvals
Withdrawn | Cancer Accelerated Approvals
Other | Cancer Accelerated Approvals
On September 8, 2020, the Food and Drug Administration alerted health care professionals, oncology clinical investigators, and patients that a clinical trial studying the use of atezolizumab (Tecentriq) and paclitaxel in patients with previously untreated inoperable locally advanced or metastatic triple negative breast cancer (mTNBC) showed the drug combination did not work to treat the disease. 
Atezolizumab in combination with paclitaxel is not approved for use in breast cancer. However, atezolizumab in combination with paclitaxel protein-bound (Abraxane)—a different combination therapy—is currently approved for the treatment of adult patients with mTNBC whose tumors express PD-L1 (PD-L1 stained tumor-infiltrating immune cells of any intensity covering ≥ 1% of the tumor area), as determined by an FDA-approved test. Continued approval of atezolizumab in combination with paclitaxel protein-bound may be contingent on proven benefit of the treatment in additional trials.
Health care professionals should not replace paclitaxel protein-bound (Abraxane) with paclitaxel in clinical practice.
The trial, IMpassion131, was a phase 3, multicenter, randomized, double-blind, placebo-controlled trial of atezolizumab in combination with paclitaxel compared with placebo and paclitaxel for patients with mTNBC.
In this clinical trial, treatment with atezolizumab and paclitaxel did not significantly reduce the risk of cancer progression and death compared with placebo and paclitaxel in the PD-L1-positive population. Additionally, interim overall survival results favored paclitaxel + placebo, over paclitaxel + atezolizumab in both the PD-L1-positive population and total population.
FDA will review the findings of IMpassion131 and will communicate new information regarding the IMpassion131 results and any potential changes to prescribing information. FDA is also evaluating the use of atezolizumab and paclitaxel in ongoing clinical trials for breast cancer and will recommend additional changes as appropriate.
Patients taking atezolizumab and paclitaxel for other approved uses should continue to take their medication as directed by their health care professional.
Patients should talk to their doctor if they have questions or concerns. Health care professionals and patients should report any adverse events or side effects related to the use of these products and other similar products to FDA’s MedWatch Adverse Event Reporting program.
Complete and submit the report online; or
Download and complete the form, then submit it via fax at 1-800-FDA-0178.
Tecentriq Prescribing Information
Content current as of:
09/08/2020
Regulated Product(s)
Drugs
Oncology</t>
  </si>
  <si>
    <t xml:space="preserve">study_ 97</t>
  </si>
  <si>
    <t xml:space="preserve">NCT03125902</t>
  </si>
  <si>
    <t xml:space="preserve">IMPASSION131</t>
  </si>
  <si>
    <t xml:space="preserve">Food and Drug Administration alerted health care professionals and oncology clinical investigators about efficacy and potential safety concerns with atezolizumab in combination with paclitaxel for treatment of breast cancer. More Information. September 8, 2020.</t>
  </si>
  <si>
    <t xml:space="preserve">https://wayback.archive-it.org/7993/20201219232235/https%3A//www.fda.gov/drugs/resources-information-approved-drugs/fda-issues-alert-about-efficacy-and-potential-safety-concerns-atezolizumab-combination-paclitaxel</t>
  </si>
  <si>
    <t xml:space="preserve">FDA issues alert about efficacy and potential safety concerns with atezolizumab in combination with paclitaxel for treatment of breast cancer 
Share
Tweet
Linkedin
Email
Print
On September 8, 2020, the Food and Drug Administration alerted health care professionals, oncology clinical investigators, and patients that a clinical trial studying the use of atezolizumab (Tecentriq) and paclitaxel in patients with previously untreated inoperable locally advanced or metastatic triple negative breast cancer (mTNBC) showed the drug combination did not work to treat the disease. 
Atezolizumab in combination with paclitaxel is not approved for use in breast cancer. However, atezolizumab in combination with paclitaxel protein-bound (Abraxane)—a different combination therapy—is currently approved for the treatment of adult patients with mTNBC whose tumors express PD-L1 (PD-L1 stained tumor-infiltrating immune cells of any intensity covering ≥ 1% of the tumor area), as determined by an FDA-approved test. Continued approval of atezolizumab in combination with paclitaxel protein-bound may be contingent on proven benefit of the treatment in additional trials.
Health care professionals should not replace paclitaxel protein-bound (Abraxane) with paclitaxel in clinical practice.
The trial, IMpassion131, was a phase 3, multicenter, randomized, double-blind, placebo-controlled trial of atezolizumab in combination with paclitaxel compared with placebo and paclitaxel for patients with mTNBC.
In this clinical trial, treatment with atezolizumab and paclitaxel did not significantly reduce the risk of cancer progression and death compared with placebo and paclitaxel in the PD-L1-positive population. Additionally, interim overall survival results favored paclitaxel + placebo, over paclitaxel + atezolizumab in both the PD-L1-positive population and total population.
FDA will review the findings of IMpassion131 and will communicate new information regarding the IMpassion131 results and any potential changes to prescribing information. FDA is also evaluating the use of atezolizumab and paclitaxel in ongoing clinical trials for breast cancer and will recommend additional changes as appropriate.
Patients taking atezolizumab and paclitaxel for other approved uses should continue to take their medication as directed by their health care professional.
Patients should talk to their doctor if they have questions or concerns. Health care professionals and patients should report any adverse events or side effects related to the use of these products and other similar products to FDA’s MedWatch Adverse Event Reporting program.
Complete and submit the report online; or
Download and complete the form, then submit it via fax at 1-800-FDA-0178.
Tecentriq Prescribing Information
Content current as of:
09/08/2020
Regulated Product(s)
Drugs
Oncology
Resources for Information | Approved Drugs
Drug Information Soundcast in Clinical Oncology (D.I.S.C.O.)
Approved Drug Products with Therapeutic Equivalence Evaluations (Orange Book) Short Description</t>
  </si>
  <si>
    <t xml:space="preserve">study_ 120</t>
  </si>
  <si>
    <t xml:space="preserve">FDA approved calaspargase pegol-mknl (ASPARLAS, Servier Pharmaceuticals LLC), an asparagine specific enzyme, as a component of a multi-agent chemotherapeutic regimen for acute lymphoblastic leukemia (ALL) in pediatric and young adult patients age 1 month to 21 years. This new product provides for a longer interval between doses compared to other available pegaspargase products. More Information. December 20, 2018</t>
  </si>
  <si>
    <t xml:space="preserve">https://wayback.archive-it.org/7993/20201219232235/https%3A//www.fda.gov/drugs/resources-information-approved-drugs/fda-approves-longer-acting-calaspargase-pegol-mknl-all</t>
  </si>
  <si>
    <t xml:space="preserve">FDA approves longer-acting calaspargase pegol-mknl for ALL
Share
Tweet
Linkedin
Email
Print
On December 20, 2018, the Food and Drug Administration approved calaspargase pegol-mknl (ASPARLAS, Servier Pharmaceuticals LLC), an asparagine specific enzyme, as a component of a multi-agent chemotherapeutic regimen for acute lymphoblastic leukemia (ALL) in pediatric and young adult patients age 1 month to 21 years. This new product provides for a longer interval between doses compared to other available pegaspargase products.
Approval was based on a demonstration of the achievement and maintenance of nadir serum asparaginase activity above the level of 0.1 U/mL when using calaspargase pegol-mknl, 2500 U/m2 intravenously, every 3 weeks. The pharmacokinetics of calaspargase pegol-mknl were studied when administered in combination with multiagent chemotherapy in 124 patients with B-cell lineage ALL.
The most common (incidence ≥ 10%) grade ≥ 3 adverse reactions were elevated transaminase, increased bilirubin, pancreatitis, and abnormal clotting studies. In a randomized trial, the safety profile of calaspargase pegol-mknl administered every 3 weeks was similar to that of pegaspargase administered every 2 weeks.
The recommended calaspargase pegol-mknl dose is 2,500 units/m2 intravenously administered at a minimum dosing interval of every 21 days.
View full prescribing information for ASPARLAS.
Calaspargase pegol-mknl received FDA orphan product designation.
Healthcare professionals should report all serious adverse events suspected to be associated with the use of any medicine and device to FDA’s MedWatch Reporting System or by calling 1-800-FDA-1088.
Follow the Oncology Center of Excellence on Twitter @FDAOncology.
Check out recent approvals at the OCE’s podcast, Drug Information Soundcast in Clinical Oncology (D.I.S.C.O.).
Content current as of:
12/26/2018
Regulated Product(s)
Drugs
Oncology
Resources for Information | Approved Drugs
Drug Information Soundcast in Clinical Oncology (D.I.S.C.O.)
Approved Drug Products with Therapeutic Equivalence Evaluations (Orange Book) Short Description</t>
  </si>
  <si>
    <t xml:space="preserve">study_ 150</t>
  </si>
  <si>
    <t xml:space="preserve">FDA approved atezolizumab (TECENTRIQ, Genentech, Inc.), in combination with bevacizumab, paclitaxel, and carboplatin for the first-line treatment of patients with metastatic non-squamous, non-small cell lung cancer (NSq NSCLC) with no EGFR or ALK genomic tumor aberrations. More Information. December 6, 2018</t>
  </si>
  <si>
    <t xml:space="preserve">https://wayback.archive-it.org/7993/20201219232235/https%3A//www.fda.gov/drugs/resources-information-approved-drugs/atezolizumab-tecentriq</t>
  </si>
  <si>
    <t xml:space="preserve">Referenced studies in the link are single drug clinical trials</t>
  </si>
  <si>
    <t xml:space="preserve">Atezolizumab (TECENTRIQ)
Share
Tweet
Linkedin
Email
Print
On October 18, 2016, FDA approved atezolizumab (TECENTRIQ, Genentech Oncology) for the treatment of patients with metastatic non-small cell lung cancer (NSCLC) whose disease progressed during or following platinum-containing chemotherapy. Patients with EGFR or ALK genomic tumor aberrations should have disease progression on FDA-approved therapy for these aberrations prior to receiving atezolizumab.
Atezolizumab is a programmed death-ligand 1 (PD-L1) blocking antibody that previously received FDA accelerated approval for the treatment of locally advanced or metastatic urothelial carcinoma that has progressed after platinum-containing chemotherapy.
This approval was based on two international, randomized, open-label clinical trials (OAK and POPLAR) that demonstrated consistent results in efficacy and safety in a total of 1137 patients with NSCLC. Compared with docetaxel, treatment with atezolizumab in the intended patient population in the two trials resulted in a 4.2 and a 2.9 month improvement in overall survival (OS), respectively.
The median OS in OAK was 13.8 months (95% confidence interval [CI] 11.8,15.7) in the atezolizumab arm compared to 9.6 months (95% CI 8.6,11.2) in the docetaxel arm (hazard ratio [HR]=0.74 [95% CI 0.63,0.87]; p=0.0004). The median OS in POPLAR was 12.6 months (95% CI 9.7, 16.0) and 9.7 months (95% CI 8.6, 12.0) (HR=0.69 [95% CI 0.52, 0.92]) for the atezolizumab and docetaxel arms, respectively.
The most common (greater than or equal to 20%) adverse reactions in patients in the primary safety analysis population (POPLAR trial) in patients treated with atezolizumab were fatigue, decreased appetite, dyspnea, cough, nausea, musculoskeletal pain, and constipation. The most common (greater than or equal to 2%) grade 3-4 adverse events in patients treated with atezolizumab were dyspnea, pneumonia, hypoxia, hyponatremia, fatigue, anemia, musculoskeletal pain, AST increase, ALT increase, dysphagia, and arthralgia. Clinically significant immune-related adverse events for patients receiving atezolizumab included pneumonitis, hepatitis, colitis, and thyroid disease.
The recommended atezolizumab dose is 1200 mg administered as an intravenous infusion over 60 minutes every three weeks until disease progression or unacceptable toxicity.
Full prescribing information is available at: http://www.accessdata.fda.gov/drugsatfda_docs/label/2016/761041lbl.pdf
Healthcare professionals should report all serious adverse events suspected to be associated with the use of any medicine and device to FDA’s MedWatch Reporting System by completing a form online athttp://www.fda.gov/medwatch/report.htm, by faxing (1-800-FDA-0178) or mailing the postage-paid address form provided online, or by telephone (1-800-FDA-1088). 
 is a death-ligand 1 (PD-L1) blocking antibody that previously received FDA accelerated approval for the treatment of locally advanced or metastatic urothelial carcinoma that has progressed after platinum-containing chemotherapy. style="&gt; 
&gt;
Content current as of:
10/19/2016
Resources for Information | Approved Drugs
Drug Information Soundcast in Clinical Oncology (D.I.S.C.O.)
Approved Drug Products with Therapeutic Equivalence Evaluations (Orange Book) Short Description</t>
  </si>
  <si>
    <t xml:space="preserve">study_ 151</t>
  </si>
  <si>
    <t xml:space="preserve">NCT02008227;NCT01903993</t>
  </si>
  <si>
    <t xml:space="preserve">OAK;POPLAR</t>
  </si>
  <si>
    <t xml:space="preserve">FDA approved brentuximab vedotin (Adcetris, Seattle Genetics, Inc.) to treat adult patients with previously untreated stage III or IV classical Hodgkin lymphoma (cHL) in combination with chemotherapy. More Information. March 20, 2018</t>
  </si>
  <si>
    <t xml:space="preserve">https://wayback.archive-it.org/7993/20201219232235/https%3A//www.fda.gov/drugs/approved-drugs/brentuximab-vedotin</t>
  </si>
  <si>
    <t xml:space="preserve">Brentuximab Vedotin
Share
Tweet
Linkedin
Email
Print
On March 20, 2018, the Food and Drug Administration approved brentuximab vedotin (Adcetris, Seattle Genetics, Inc.) to treat adult patients with previously untreated stage III or IV classical Hodgkin lymphoma (cHL) in combination with chemotherapy.
Approval was based on a randomized, open-label, two-arm, multicenter trial, ECHELON-1, that randomized 1,334 patients to receive either Adcetris plus doxorubicin, vinblastine, and dacarbazine (Adcetris + AVD) or bleomycin plus AVD (ABVD). Patients were randomized to receive up to 6 cycles of Adcetris + AVD or ABVD on Days 1 and 15 of each 28-day cycle.
Efficacy was established based on modified progression-free survival (mPFS), defined as progression, death, or receipt of additional anticancer therapy for patients who are not in a complete response after completion of frontline therapy. The estimated median mPFS was not reached in either arm, with a median follow-up time of 24.6 months. There were 117 events (18%) on the Adcetris + AVD arm and 146 events (22%) on the ABVD arm (hazard ratio 0.77; 95% CI: 0.60, 0.98; p=0.035), corresponding to a 23 percent reduction in the risk of an mPFS event. At the time of the mPFS analysis, an interim overall survival analysis did not demonstrate a significant difference.
The most common adverse reactions in at least 20% of patients treated with Adcetris across all clinical trials were neutropenia, anemia, peripheral sensory neuropathy, nausea, fatigue, constipation, diarrhea, vomiting, and pyrexia. Primary G-CSF prophylaxis is recommended with Adcetris plus chemotherapy for the frontline treatment of stage III or IV cHL.
The recommended dose of Adcetris in combination with chemotherapy for previously untreated stage III or IV cHL is 1.2 mg/kg as an intravenous infusion up to a maximum of 120 mg every 2 weeks for 12 doses.
Full prescribing information is available at: https://www.accessdata.fda.gov/drugsatfda_docs/label/2018/125388s097lbl.pdf.
FDA granted this application priority review and breakthrough designation. A description of FDA expedited programs is in the Guidance for Industry: Expedited Programs for Serious Conditions-Drugs and Biologics, available at: http://www.fda.gov/downloads/drugs/guidancecomplianceregulatoryinformation/guidances/ucm358301.pdf.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Follow the Oncology Center of Excellence on Twitter @FDAOncology.
Check out recent approvals at the OCE’s podcast, Drug Information Soundcast in Clinical Oncology (D.I.S.C.O.), available at www.fda.gov/DISCO.
Content current as of:
03/20/2018
Resources for Information | Approved Drugs
Drug Information Soundcast in Clinical Oncology (D.I.S.C.O.)
Approved Drug Products with Therapeutic Equivalence Evaluations (Orange Book) Short Description</t>
  </si>
  <si>
    <t xml:space="preserve">study_ 164</t>
  </si>
  <si>
    <t xml:space="preserve">NCT01712490</t>
  </si>
  <si>
    <t xml:space="preserve">ECHELON-1;NONE</t>
  </si>
  <si>
    <t xml:space="preserve">ECHELON-1</t>
  </si>
  <si>
    <t xml:space="preserve">FDA approved abemaciclib (VERZENIO, Eli Lilly and Company) in combination with an aromatase inhibitor as initial endocrine-based therapy for postmenopausal women with hormone receptor (HR)-positive, human epidermal growth factor receptor 2 (HER2)-negative advanced or metastatic breast cancer. More Information. February 26, 2018</t>
  </si>
  <si>
    <t xml:space="preserve">https://wayback.archive-it.org/7993/20201219232235/https%3A//www.fda.gov/drugs/approved-drugs/fda-approves-abemaciclib-initial-therapy-hr-positive-her2-negative-metastatic-breast-cancer</t>
  </si>
  <si>
    <t xml:space="preserve">FDA approves abemaciclib as initial therapy for HR-positive, HER2-negative metastatic breast cancer
Share
Tweet
Linkedin
Email
Print
On February 26, 2018, the Food and Drug Administration approved abemaciclib (VERZENIO™, Eli Lilly and Company) in combination with an aromatase inhibitor as initial endocrine-based therapy for postmenopausal women with hormone receptor (HR)-positive, human epidermal growth factor receptor 2 (HER2)-negative advanced or metastatic breast cancer.
Approval was based on MONARCH 3, a randomized (2:1), double-blinded, placebo-controlled, multicenter clinical trial in postmenopausal women with HR-positive, HER2-negative advanced or metastatic breast cancer. A total of 493 patients were randomized to receive either abemaciclib 150 mg or placebo orally twice daily, plus physician’s choice of letrozole or anastrozole. The estimated median progression-free survival (PFS) (RECIST 1.1) was 28.2 months (95% CI: 23.5, Not reached) for patients receiving abemaciclib and 14.8 months (95% CI: 11.2, 19.2) for those receiving placebo (HR 0.540; 95% CI: 0.418, 0.698; p
The most common adverse reactions in at least 20% of patients receiving abemaciclib in MONARCH 3 and more than 2% higher than the placebo arm were diarrhea, neutropenia, fatigue, infections, nausea, abdominal pain, anemia, vomiting, alopecia, decreased appetite, and leukopenia.
The recommended starting dose of abemaciclib in combination with an aromatase inhibitor is 150 mg twice daily orally with or without food.
Full prescribing information is available at: https://www.accessdata.fda.gov/drugsatfda_docs/label/2018/208855s000lbl.pdf.
FDA granted this application priority review. A description of FDA expedited programs is in the Guidance for Industry: Expedited Programs for Serious Conditions-Drugs and Biologics, available at: http://www.fda.gov/downloads/drugs/guidancecomplianceregulatoryinformation/guidances/ucm358301.pdf.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Follow the Oncology Center of Excellence on Twitter @FDAOncology.
Check out recent approvals at the OCE’s podcast, Drug Information Soundcast in Clinical Oncology (D.I.S.C.O.), available at www.fda.gov/DISCO.
Content current as of:
02/26/2018
Resources for Information | Approved Drugs
Drug Information Soundcast in Clinical Oncology (D.I.S.C.O.)
Approved Drug Products with Therapeutic Equivalence Evaluations (Orange Book) Short Description</t>
  </si>
  <si>
    <t xml:space="preserve">study_ 165</t>
  </si>
  <si>
    <t xml:space="preserve">NCT02246621</t>
  </si>
  <si>
    <t xml:space="preserve">MONARCH 3</t>
  </si>
  <si>
    <t xml:space="preserve">FDA granted regular approval to obinutuzumab (GAZYVA, Genentech, Inc.) in combination with chemotherapy, followed by obinutuzumab monotherapy in patients achieving at least a partial remission, for the treatment of adult patients with previously untreated stage II bulky, III, or IV follicular lymphoma (FL). More Information. November 16, 2017</t>
  </si>
  <si>
    <t xml:space="preserve">https://wayback.archive-it.org/7993/20201219232235/https%3A//www.fda.gov/drugs/approved-drugs/fda-approves-obinutuzumab-previously-untreated-follicular-lymphoma</t>
  </si>
  <si>
    <t xml:space="preserve">FDA approves obinutuzumab for previously untreated follicular lymphoma
Share
Tweet
Linkedin
Email
Print
On November 16, 2017, the Food and Drug Administration granted regular approval to obinutuzumab (GAZYVA, Genentech, Inc.) in combination with chemotherapy, followed by obinutuzumab monotherapy in patients achieving at least a partial remission, for the treatment of adult patients with previously untreated stage II bulky, III, or IV follicular lymphoma (FL).
Approval was based on a multicenter, open-label, randomized phase 3 trial (GALLIUM) for patients with previously untreated non-Hodgkin lymphoma, including 1202 patients with FL. Patients were randomized 1:1 to receive either obinutuzumab + chemotherapy or rituximab + chemotherapy, followed in responding patients by obinutuzumab or rituximab maintenance for up to 2 years. Of the patients with FL, 91% had stage III-IV disease, 44% had bulky disease, and 79% had at least intermediate-risk disease. The chemotherapy backbone was bendamustine in 57%, CHOP in 33% and CVP in 10%. With a median follow-up of 38 months, progression-free survival, as assessed by an independent review committee, was statistically significantly improved in the obinutuzumab arm, with an estimated hazard ratio of 0.72 (95% CI: 0.56, 0.93; p=0.0118) compared to the rituximab arm. Median progression-free survival was not reached in either arm. As assessed by CT, the arms had similar overall response rates (91% with obinutuzumab, 88% with rituximab) and complete remission rates (28% and 27%, respectively).
Among the 1385 patients evaluated for safety, the obinutuzumab arm had higher incidences of serious adverse reactions (ARs; 50% compared to 43% in the rituximab arm), grade ≥ 3 ARs (79% vs. 72%) and fatal infections (2% vs.
In patients with previously untreated FL, the recommended dose-schedule of obinutuzumab is 1000 mg intravenously on days 1, 8 and 15 of cycle 1; 1000 mg on day 1 of cycles 2-6 or cycles 2-8; and then 1000 mg every 2 months for up to 2 years.
Full prescribing information is available at: https://www.accessdata.fda.gov/drugsatfda_docs/label/2017/125486s017s018lbl.pdf.
FDA granted priority review to obinutuzumab for this indication. A description of FDA expedited programs is in the Guidance for Industry: Expedited Programs for Serious Conditions-Drugs and Biologics, available at: http://www.fda.gov/downloads/drugs/guidancecomplianceregulatoryinformation/guidances/ucm358301.pdf.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Follow the Oncology Center of Excellence on Twitter @FDAOncology.
Check out recent approvals at the OCE’s new podcast, Drug Information Soundcast in Clinical Oncology (D.I.S.C.O.), available at www.fda.gov/DISCO.
Content current as of:
11/16/2017
Resources for Information | Approved Drugs
Drug Information Soundcast in Clinical Oncology (D.I.S.C.O.)
Approved Drug Products with Therapeutic Equivalence Evaluations (Orange Book) Short Description</t>
  </si>
  <si>
    <t xml:space="preserve">study_ 168</t>
  </si>
  <si>
    <t xml:space="preserve">NCT01332968</t>
  </si>
  <si>
    <t xml:space="preserve">GALLIUM</t>
  </si>
  <si>
    <t xml:space="preserve">FDA approved abemaciclib (VERZENIO, Eli Lilly and Company) in combination with fulvestrant for women with HR-positive, HER2-negative advanced or metastatic breast cancer with disease progression following endocrine therapy. More Inforrmation. September 28, 2017</t>
  </si>
  <si>
    <t xml:space="preserve">https://wayback.archive-it.org/7993/20201219232235/https%3A//www.fda.gov/drugs/approved-drugs/fda-approves-abemaciclib-hr-positive-her2-negative-breast-cancer</t>
  </si>
  <si>
    <t xml:space="preserve">MONARCH 1 evaluates only monotherapy</t>
  </si>
  <si>
    <t xml:space="preserve">FDA approves abemaciclib for HR-positive, HER2-negative breast cancer
Share
Tweet
Linkedin
Email
Print
On September 28, 2017, the Food and Drug Administration approved abemaciclib (VERZENIO, Eli Lilly and Company) in combination with fulvestrant for women with HR-positive, HER2-negative advanced or metastatic breast cancer with disease progression following endocrine therapy. In addition, abemaciclib was approved as monotherapy for women and men with HR-positive, HER2-negative advanced or metastatic breast cancer with disease progression following endocrine therapy and prior chemotherapy in the metastatic setting.
The approval in combination with fulvestrant was based on MONARCH 2, a randomized, placebo-controlled, multicenter trial in women with HR-positive, HER2-negative metastatic breast cancer with disease progression following endocrine therapy who had not received chemotherapy in the metastatic setting. The trial randomized 669 patients to receive either abemaciclib or placebo orally twice daily plus intramuscular injection of 500 mg fulvestrant on days 1 and 15 of cycle 1 and then on day 1 of cycle 2 and beyond (28-day cycles). Patients remained on continuous treatment with abemaciclib until development of progressive disease or unmanageable toxicity. Median progression-free survival for patients taking abemaciclib with fulvestrant was 16.4 months compared with 9.3 months for those taking placebo with fulvestrant (HR 0.553; 95% CI: 0.449, 0.681; p0.0001).&gt;
The approval as monotherapy was based on MONARCH 1, a single-arm, open-label, multicenter study in women with measurable HR-positive, HER2-negative metastatic breast cancer whose disease progressed during or after endocrine therapy, had received a taxane in any setting, and who received one or two prior chemotherapy regimens in the metastatic setting. A total of 132 patients received 200 mg abemaciclib orally twice daily on a continuous schedule until progressive disease or unmanageable toxicity. Objective response rate was 19.7 percent (95% CI: 13.3, 27.5) with a median response duration of 8.6 months (95% CI: 5.8, 10.2).
The most common adverse reactions in greater than 20% of patients taking abemaciclib were diarrhea, neutropenia, nausea, abdominal pain, infections, fatigue, anemia, leukopenia, decreased appetite, vomiting, headache, and thrombocytopenia. The most frequently reported (≥5%) grade 3 or 4 adverse reactions in patients taking abemaciclib with fulvestrant were neutropenia, diarrhea, leukopenia, anemia, and infections.
The recommended starting doses are 150 mg twice daily in combination with fulvestrant or 200 mg twice daily as monotherapy. 
Full dosing information is available at:
https://www.accessdata.fda.gov/drugsatfda_docs/label/2017/208716s000lbl.pdf
FDA granted priority review and Breakthrough Therapy Designation to abemaciclib for this indication. Approval was granted approximately three months prior to the due date. A description of FDA expedited programs is in the Guidance for Industry: Expedited Programs for Serious Conditions-Drugs and Biologics, available at: http://www.fda.gov/downloads/drugs/guidancecomplianceregulatoryinformation/guidances/ucm358301.pdf.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Follow the Oncology Center of Excellence on Twitter @FDAOncology.
Check out recent approvals at the OCE’s new podcast, Drug Information Soundcast in Clinical Oncology (D.I.S.C.O.), available at www.fda.gov/DISCO.
Content current as of:
09/28/2017
Resources for Information | Approved Drugs
Drug Information Soundcast in Clinical Oncology (D.I.S.C.O.)
Approved Drug Products with Therapeutic Equivalence Evaluations (Orange Book) Short Description</t>
  </si>
  <si>
    <t xml:space="preserve">study_ 169</t>
  </si>
  <si>
    <t xml:space="preserve">NCT02107703;NCT02102490</t>
  </si>
  <si>
    <t xml:space="preserve">MONARCH 2; MONARCH 1</t>
  </si>
  <si>
    <t xml:space="preserve">MONARCH 2;MONARCH 1</t>
  </si>
  <si>
    <t xml:space="preserve">FDA approved a lower dose of cabazitaxel (20 mg/m2 every 3 weeks) (JEVTANA, Sanofi-Aventis) in combination with prednisone for the treatment of patients with metastatic castration-resistant prostate cancer previously treated with a docetaxel-containing treatment regimen. Cabazitaxel (25 mg/m2 every 3 weeks) was approved for this indication in 2010. More Information. September 14, 2017</t>
  </si>
  <si>
    <t xml:space="preserve">https://wayback.archive-it.org/7993/20201219232235/https%3A//www.fda.gov/drugs/approved-drugs/fda-approves-lower-dose-cabazitaxel-prostate-cancer</t>
  </si>
  <si>
    <t xml:space="preserve">single</t>
  </si>
  <si>
    <t xml:space="preserve">no</t>
  </si>
  <si>
    <t xml:space="preserve">The study compares effectivity of reducing the dose of the drug combination (arms are: higher dose; lower dose, of the same drug combination)</t>
  </si>
  <si>
    <t xml:space="preserve">FDA approves lower dose of cabazitaxel for prostate cancer
Share
Tweet
Linkedin
Email
Print
On September 14, 2017, the U.S. Food and Drug Administration approved a lower dose of cabazitaxel (20 mg/m2 every 3 weeks) (JEVTANA, Sanofi-Aventis) in combination with prednisone for the treatment of patients with metastatic castration-resistant prostate cancer previously treated with a docetaxel-containing treatment regimen. Cabazitaxel (25 mg/m2 every 3 weeks) was approved for this indication in 2010.
The approval was based on data from a noninferiority, multicenter, randomized, open-label trial (PROSELICA) of 1200 patients with metastatic castration-resistant prostate cancer previously treated with a docetaxel-containing regimen. This trial was conducted as a post-marketing requirement to evaluate a lower dose compared with the approved dose of 25 mg/m2. Patients received either cabazitaxel 25 mg/m2 (n=602) or the 20 mg/m2 (n=598) dose.
The trial demonstrated noninferiority in overall survival (OS) of cabazitaxel 20 mg/m2 in comparison with 25 mg/m2 in an intent-to-treat population. The estimated median OS was 13.4 months for patients on the lower dose compared with 14.5 months for patients receiving the higher dose (hazard ratio=1.024; 97.78% CI: 0.886, 1.184). Based on the per-protocol population, the estimated median OS was 15.1 and 15.9 months on cabazitaxel 20 mg/m2 and cabazitaxel 25 mg/m2 respectively (hazard ratio=1.042; 97.78% CI: 0.886, 1.224).
The major safety findings, myelosuppression, infections and increased toxicity, occurred with greater frequency on the 25 mg/m2 arm compared to the lower dose. Deaths within 30 days of the last study drug dose (5.4% vs. 3.8%), and early infection-related deaths within 30 days of the treatment initiation (1.3% vs 0.7%) were more common on the 25 mg/m2 arm compared to the 20 mg/m2 arm. All of the early infection-related deaths occurred in patients greater than 60 years of age. Primary prophylaxis with G-CSF is recommended in patients with high-risk clinical features.
Adverse reactions and laboratory abnormalities occurring in greater than 10% of patients treated with cabazitaxel on clinical trials were neutropenia, anemia, leukopenia, thrombocytopenia, diarrhea, fatigue, nausea, vomiting, constipation, asthenia, abdominal pain, hematuria, back pain, and anorexia. Grade 3-4 infections were reported in 20% patients on the 25 mg/m2 arm and 10% patients on the lower dose. Febrile neutropenia occurred in 9% of patients on the 25 mg/m2 arm and in 2% on the 20 mg/m2 arm. The most common reasons for dose discontinuation were fatigue and hematuria.
The recommended dose of cabazitaxel is 20 mg/m2 administered every three weeks as a one-hour intravenous infusion in combination with oral prednisone 10 mg administered daily. A dose of 25 mg/m2 can be used in select patients at the discretion of the treating healthcare provider.
The full prescribing information is available at: https://www.accessdata.fda.gov/drugsatfda_docs/label/2017/201023s019lbl.pdf.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Follow the Oncology Center of Excellence on Twitter @FDAOncology.
Check out recent approvals at the OCE’s new podcast, Drug Information Soundcast in Clinical Oncology (D.I.S.C.O.), available at www.fda.gov/DISCO.
Content current as of:
09/14/2017
Resources for Information | Approved Drugs
Drug Information Soundcast in Clinical Oncology (D.I.S.C.O.)
Approved Drug Products with Therapeutic Equivalence Evaluations (Orange Book) Short Description</t>
  </si>
  <si>
    <t xml:space="preserve">study_ 170</t>
  </si>
  <si>
    <t xml:space="preserve">NCT01308580</t>
  </si>
  <si>
    <t xml:space="preserve">PROSELICA</t>
  </si>
  <si>
    <t xml:space="preserve">FDA granted accelerated approval to pembrolizumab (KEYTRUDA, Merck and Co., Inc.) in combination with pemetrexed and carboplatin for the treatment of patients with previously untreated metastatic non-squamous non-small cell lung cancer (NSCLC). More Information. May 10, 2017</t>
  </si>
  <si>
    <t xml:space="preserve">https://wayback.archive-it.org/7993/20201219232235/https%3A//www.fda.gov/drugs/approved-drugs/pembrolizumab-keytruda-5-10-2017</t>
  </si>
  <si>
    <t xml:space="preserve">Pembrolizumab (Keytruda) 5-10-2017
Share
Tweet
Linkedin
Email
Print
On May 10, 2017, the U.S. Food and Drug Administration granted accelerated approval to pembrolizumab (KEYTRUDA®, Merck and Co., Inc.) in combination with pemetrexed and carboplatin for the treatment of patients with previously untreated metastatic non-squamous non-small cell lung cancer (NSCLC).
Approval was based on a cohort (G1) of patients enrolled in an open-label, multicenter, multi-cohort study (KEYNOTE-021). A total of 123 patients with locally advanced or metastatic non-squamous NSCLC and no prior systemic treatment for metastatic disease were enrolled. Patients were randomized to receive either pembrolizumab, 200 mg every 3 weeks, in combination with pemetrexed and carboplatin (PC) for 4 cycles followed by pembrolizumab for a maximum of 24 months (n=60) compared to PC alone (n=63). At the investigator’s discretion, patients in both arms may have received pemetrexed as maintenance therapy. Randomization was stratified by PD-L1 tumor expression (tumor proportion score [TPS] 1%&gt;
The trial demonstrated an improvement in overall response rate (ORR) and in progression-free survival (PFS) for patients randomized to pembrolizumab plus PC. The ORR was 55% (95% CI: 42-68%) for the pembrolizumab plus PC arm and 29% (95% CI: 18-41%) for the PC alone arm (p=0.0032).. Among responders, the proportion of patients with response durations of 6 months or longer was 93% in the pembrolizumab-containing arm and 81% in the PC alone arm. The hazard ratio for PFS was 0.53 (95% CI: 0.31, 0.91, p=0.0205) and the median PFS was 13.0 months (95% CI: 8.3, NE) for the pembrolizumab plus PC arm and 8.9 months (95% CI: 4.4, 10.3) for the PC alone arm. Exploratory analyses of ORR were conducted in subgroups defined by PD-L1 tumor expression (TPS 1%&gt;1%&gt;
Adverse events (AEs) and serious AEs (SAE) were observed at a higher incidence with the addition of pembrolizumab to PC compared to PC alone in patients from Cohort G1. Serious AEs occurred in 41% of the patients in the pembrolizumab plus PC arm compared with 28% in the PC alone arm. . The most common AEs (all grades) in the pembrolizumab + PC arm were fatigue (71%), nausea (68%), and constipation (51%). The most common grade 3-4 adverse reactions were fatigue (3.4%), dyspnea (3.4%), nausea (1.7%), vomiting (1.7%), diarrhea (1.7%), and rash (1.7%). Pembrolizumab was discontinued for adverse reactions in 10% of patients. The most common adverse reaction resulting in discontinuation of pembrolizumab (≥ 2%) was acute kidney injury (3.4%).
Immune-mediated adverse reactions can occur with pembrolizumab including pneumonitis, colitis, hepatitis, endocrinopathies, and nephritis. Based on the severity of the adverse reaction, pembrolizumab should be withheld or discontinued and corticosteroids administered when appropriate.
The recommended pembrolizumab dose and schedule for NSCLC is 200 mg as an intravenous infusion every 3 weeks until disease progression, unacceptable toxicity, or up to 24 months in patients without disease progression.
Full prescribing information for pembrolizumab is available at: KEYTRUDA
FDA granted pembrolizumab priority review status and accelerated approval for this indication. An additional study is required to confirm clinical benefit of pembrolizumab in combination with chemotherapy for this indication. A description of FDA expedited programs is in the Guidance for Industry: Expedited Programs for Serious Conditions-Drugs and Biologics, available at: Guidance for Industry Expedited Programs for Serious Conditions – Drugs and Biologics.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Follow the Oncology Center of Excellence on Twitter @FDAOncology
Content current as of:
05/11/2017
Resources for Information | Approved Drugs
Drug Information Soundcast in Clinical Oncology (D.I.S.C.O.)
Approved Drug Products with Therapeutic Equivalence Evaluations (Orange Book) Short Description</t>
  </si>
  <si>
    <t xml:space="preserve">study_ 174</t>
  </si>
  <si>
    <t xml:space="preserve">NCT02039674</t>
  </si>
  <si>
    <t xml:space="preserve">KEYNOTE-021</t>
  </si>
  <si>
    <t xml:space="preserve">FDA approved daratumumab (DARZALEX, Janssen Biotech, Inc.) in combination with lenalidomide and dexamethasone, or bortezomib and dexamethasone, for the treatment of patients with multiple myeloma who have received at least one prior therapy. More Information. November 21, 2016</t>
  </si>
  <si>
    <t xml:space="preserve">https://wayback.archive-it.org/7993/20170111064250/http%3A//www.fda.gov/Drugs/InformationOnDrugs/ApprovedDrugs/ucm530249.htm</t>
  </si>
  <si>
    <t xml:space="preserve">Daratumumab (DARZALEX)
Share
Tweet
Linkedin
Pin it
More sharing options
Linkedin
Pin it
Email
Print
On November 21, 2016, the U.S. Food and Drug Administration approved daratumumab (DARZALEX, Janssen Biotech, Inc.) in combination with lenalidomide and dexamethasone, or bortezomib and dexamethasone, for the treatment of patients with multiple myeloma who have received at least one prior therapy.
Daratumumab was previously granted accelerated approval in November 2015 as monotherapy for patients with multiple myeloma who have received at least three prior lines of therapy, including a proteasome inhibitor (PI) and an immunomodulatory agent, or who are double refractory to a PI and an immunomodulatory agent.
The current approval was based on two randomized, open-label trials in which daratumumab was added to standard therapies. The POLLUX trial (also known as MMY3003), demonstrated substantial improvement in progression-free survival (PFS) when daratumumab was added to lenalidomide and dexamethasone compared with lenalidomide and dexamethasone alone. The estimated median PFS had not been reached in the daratumumab arm and was 18.4 months in the control arm (HR=0.37; 95% CI: 0.27, 0.52; p&lt;0.0001), representing a 63% reduction in the risk of disease progression or death in patients treated with daratumumab.
Similar results were observed in the CASTOR trial (also known as MMY3004), which compared the combination of daratumumab, bortezomib, and dexamethasone with bortezomib and dexamethasone. The estimated median PFS was not reached in the daratumumab arm and was 7.2 months in the control arm (HR=0.39; 95% CI: 0.28, 0.53; p&lt;0.0001), representing a 61% reduction in the risk of disease progression or death for patients treated with daratumumab.
The most frequently reported adverse reactions (greater than or equal to 20%) in MMY3003 were infusion reactions, diarrhea, nausea, fatigue, pyrexia, upper respiratory tract infection, muscle spasm, cough and dyspnea. The most frequently reported adverse reactions (greater than or equal to 20%) in MMY3004 were infusion reactions, diarrhea, peripheral edema, upper respiratory tract infection, peripheral sensory Neutropenia and thrombocytopenia have been added to the Warnings and Precautions of the DARZALEX label.
The recommended dose of daratumumab is 16 mg/kg intravenously (calculated on actual body weight).
FDA granted daratumumab breakthrough therapy and orphan drug designation, as well as priority review. The current approval was granted three months prior to the PDUFA date of February 17, 2017. A description of these expedited programs is in the Guidance for Industry: Expedited Programs for Serious Conditions—Drugs and Biologics, available at: http://www.fda.gov/downloads/drugs/guidancecomplianceregulatoryinformation/guidances/ucm358301.pdf.
Full prescribing information is available at: http://www.accessdata.fda.gov/drugsatfda_docs/label/2016/761036s004lbl.pdf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t>
  </si>
  <si>
    <t xml:space="preserve">study_ 175</t>
  </si>
  <si>
    <t xml:space="preserve">NCT02076009;NCT02136134</t>
  </si>
  <si>
    <t xml:space="preserve">POLLUX;CASTOR</t>
  </si>
  <si>
    <t xml:space="preserve">FDA approved lenvatinib capsules (Lenvima, Eisai, Inc.), in combination with everolimus, for the treatment of advanced renal cell carcinoma following one prior anti-angiogenic therapy. Lenvatinib was first approved in 2015 for the treatment of locally recurrent or metastatic, progressive, radioactive iodine-refractory differentiated thyroid cancer. More Information. May 13, 2016</t>
  </si>
  <si>
    <t xml:space="preserve">https://wayback.archive-it.org/7993/20170111064250/http%3A//www.fda.gov/Drugs/InformationOnDrugs/ApprovedDrugs/ucm501070.htm</t>
  </si>
  <si>
    <t xml:space="preserve">Lenvatinib in combination with Everolimus
Share
Tweet
Linkedin
Pin it
More sharing options
Linkedin
Pin it
Email
Print
On May 13, 2016, the U. S. Food and Drug Administration approved lenvatinib capsules (Lenvima, Eisai, Inc.), in combination with everolimus, for the treatment of advanced renal cell carcinoma following one prior anti-angiogenic therapy. Lenvatinib was first approved in 2015 for the treatment of locally recurrent or metastatic, progressive, radioactive iodine-refractory differentiated thyroid cancer.
The current approval was based on a randomized, multicenter study in patients with advanced or metastatic renal cell carcinoma who previously received anti-angiogenic therapy. The major efficacy outcome measure was investigator-assessed progression-free survival (PFS) evaluated according to RECIST v1.1. 
The trial randomized 153 patients 1:1:1 to lenvatinib 18 mg plus everolimus 5 mg (N=51), lenvatinib 24 mg monotherapy (N=52), or everolimus 10 mg monotherapy (N=50). All medications were administered orally once daily. Metastases were present in 95% of patients. Memorial Sloan Kettering Cancer Center favorable, intermediate, and poor risk prognostic categories were seen, respectively, in 24%, 37%, and 39% of patients receiving lenvatinib plus everolimus and were well balanced between arms.
The hazard ratio for the comparison of investigator-assessed PFS between lenvatinib plus everolimus and everolimus was 0.37 (95% CI: 0.22, 0.62). The median PFS was 14.6 (95% CI: 5.9, 20.1) months for the lenvatinib plus everolimus arm versus 5.5 (95% CI: 3.5, 7.1) months for patients on the everolimus arm. This treatment effect was supported by a retrospective independent review of radiographs in these two arms with an observed hazard ratio of0.43 (95% CI: 0.24, 0.75). The hazard ratio for a post-hoc, updated comparison of overall survival between the lenvatinib plus everolimus and everolimus arms was 0.67 (95% CI: 0.42, 1.08).
Comparison of investigator-assessed PFS between lenvatinib monotherapy and everolimus monotherapy supported the activity of lenvatinib in renal cell cancer. The combination of lenvatinib plus everolimus demonstrated numerically superior PFS, objective response rate, and overall survival, compared to lenvatinib monotherapy. There was no pre-specified plan for multiple comparisons. 
The most common adverse reactions (greater than 30%) with lenvatinib in combination with everolimus were diarrhea, fatigue, arthralgia/myalgia, decreased appetite, vomiting, nausea, stomatitis/oral inflammation, hypertension, peripheral edema, cough, abdominal pain, dyspnea, rash, decreased weight, bleeding events, and proteinuria. Diarrhea was increased with the combination of lenvatinib plus everolimus, 19 % grade 3-4, and was added to the package insert as a new safety Warning. 
The recommended dose and schedule is lenvatinib 18 mg plus everolimus 5 mg taken by mouth once daily.
This application was approved before the Prescription Drug User Fee Act (PDUFA) goal date of May 16, 2016. Lenvatinib in combination with everolimus received Breakthrough Therapy Designation for the treatment of advanced renal cell cancer following one prior anti-angiogenic therapy and the application was granted Priority Review. A description of these expedited programs is in the Guidance for Industry: Expedited Programs for Serious Conditions-Drugs and Biologics, available at: http://www.fda.gov/downloads/drugs/guidancecomplianceregulatoryinformation/guidances/ucm358301.pdf.
Full prescribing information is available at: http://www.accessdata.fda.gov/drugsatfda_docs/label/2016/206947s003lbl.pdf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t>
  </si>
  <si>
    <t xml:space="preserve">study_ 176</t>
  </si>
  <si>
    <t xml:space="preserve">FDA approved obinutuzumab (Gazyva Injection, Genentech, Inc.) for use in combination with bendamustine followed by obinutuzumab monotherapy for the treatment of patients with follicular lymphoma (FL) who relapsed after, or are refractory to, a rituximab-containing regimen. Obinutuzumab was previously approved for use in combination with chlorambucil for the treatment of patients with previously untreated chronic lymphocytic leukemia. More Information. February 26, 2016</t>
  </si>
  <si>
    <t xml:space="preserve">https://wayback.archive-it.org/7993/20170111064250/http%3A//www.fda.gov/Drugs/InformationOnDrugs/ApprovedDrugs/ucm488013.htm</t>
  </si>
  <si>
    <t xml:space="preserve">Obinutuzumab
Share
Tweet
Linkedin
Pin it
More sharing options
Linkedin
Pin it
Email
Print
On February 26, 2016, the U. S. Food and Drug Administration approved obinutuzumab (Gazyva Injection, Genentech, Inc.) for use in combination with bendamustine followed by obinutuzumab monotherapy for the treatment of patients with follicular lymphoma (FL) who relapsed after, or are refractory to, a rituximab-containing regimen. Obinutuzumab was previously approved for use in combination with chlorambucil for the treatment of patients with previously untreated chronic lymphocytic leukemia.
This new approval was based on demonstration of an improvement in progression-free survival (PFS) in a randomized, open-label, multicenter trial in patients with FL who had no response to or have progressed during or within 6 months of a rituximab-containing regimen. This trial compared 6 cycles of obinutuzumab plus bendamustine combination therapy followed by continued obinutuzumab monotherapy for up to 2 years with 6 cycles of bendamustine therapy. 
Efficacy was assessed in 321 patients with follicular lymphoma randomized to either obinutuzumab plus bendamustine (n=155) or bendamustine (n=166). The median age was 63 years (range 34-87). Patients had received a median of 2 prior therapies (range 1-10). The independent review assessed median PFS was 13.8 months in the bendamustine arm while the median PFS was not reached in the obinutuzumab plus bendamustine arm [HR 0.48 (95% CI: 0.34-0.68), log-rank test p-value &lt; 0.0001).
This trial also enrolled 46 patients with marginal zone lymphoma and 28 with small lymphocytic lymphoma who were also included in the safety analysis. The most common adverse reactions (greater than or equal to 10%) in the safety population treated with obinutuzumab plus bendamustine followed by obinutuzumab monotherapy were infusion reactions, neutropenia, nausea, fatigue, cough, diarrhea, constipation, pyrexia, thrombocytopenia, vomiting, upper respiratory tract infection, decreased appetite, arthralgia, sinusitis, anemia, asthenia and urinary tract infection. Serious adverse reactions were reported in 38% of patients treated with obinutuzumab plus bendamustine followed by obinutuzumab monotherapy. The most common serious adverse reactions (greater than 2%) were febrile neutropenia, neutropenia, infusion related reactions, sepsis, pneumonia and pyrexia.
The recommended dose and schedule for the regimen follows:
Obinutuzumab: 1000 mg by intravenous infusion on days 1, 8 and 15 of cycle 1; on day 1 of cycles 2-6 (28-day cycles); and then every 2 months for 2 years. 
Bendamustine: 90 mg/m2 by intravenous infusion on days 1 and 2 of cycles 1-6.
This application was granted Priority Review. A description of these expedited programs is in the Guidance for Industry: Expedited Programs for Serious Conditions-Drugs and Biologics, available at: http://www.fda.gov/downloads/drugs/guidancecomplianceregulatoryinformation/guidances/ucm358301.pdf.
Full prescribing information is available at: 
http://www.accessdata.fda.gov/drugsatfda_docs/label/2016/125486s013lbl.pdf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t>
  </si>
  <si>
    <t xml:space="preserve">study_ 177</t>
  </si>
  <si>
    <t xml:space="preserve">FDA approved palbociclib (IBRANCE Capsules, Pfizer, Inc.) in combination with fulvestrant for the treatment of women with hormone receptor (HR)-positive, human epidermal growth factor receptor 2 (HER2)-negative advanced or metastatic breast cancer with disease progression following endocrine therapy. More Information. February 19, 2016</t>
  </si>
  <si>
    <t xml:space="preserve">https://wayback.archive-it.org/7993/20170111064250/http%3A//www.fda.gov/Drugs/InformationOnDrugs/ApprovedDrugs/ucm487080.htm</t>
  </si>
  <si>
    <t xml:space="preserve">Palbociclib (IBRANCE Capsules)
Share
Tweet
Linkedin
Pin it
More sharing options
Linkedin
Pin it
Email
Print
On February 19, 2016, the U. S. Food and Drug Administration approved palbociclib (IBRANCE Capsules, Pfizer, Inc.) in combination with fulvestrant for the treatment of women with hormone receptor (HR)-positive, human epidermal growth factor receptor 2 (HER2)-negative advanced or metastatic breast cancer with disease progression following endocrine therapy. 
In February 2015, FDA granted accelerated approval for palbociclib in combination with letrozole for the treatment of HR-positive, HER2-negative advanced breast cancer as initial endocrine based therapy in postmenopausal women.
Today’s approval is based on the demonstration of an improvement in progression - free survival (PFS) in an international, randomized, double-blind, parallel group, multicenter study comparing palbociclib plus fulvestrant to placebo plus fulvestrant. Women enrolled had HR-positive, HER2-negative advanced or metastatic breast cancer with disease progression on or after prior adjuvant or metastatic endocrine therapy. 
A total of 521 pre- and postmenopausal women were randomized (2:1) to either palbociclib plus fulvestrant or placebo plus fulvestrant until disease progression or unacceptable toxicity. Palbociclib was administered orally at a dose of 125 mg daily for 21 consecutive days followed by 7 days off treatment. Fulvestrant was administered intramuscularly at a dose of 500 mg on days 1, 15, 29 and once monthly thereafter. Pre- or perimenopausal women were enrolled in the study and received the LHRH agonist, goserelin, for at least 4 weeks prior to and for the study’s duration.
Among the 521 patients, 80% were postmenopausal, all patients had received prior systemic therapy, and 75% had received a previous chemotherapy regimen. Twenty-five percent had not received prior therapy for metastatic disease, 60% had visceral metastases, and 23% had bone only disease.
The major efficacy outcome measure was investigator-assessed PFS evaluated according to RECIST V1.1. The study demonstrated an improvement in PFS with a hazard ratio of 0.46 (95% CI: 0.36, 0.59; p&lt;0.0001). The median PFS was 9.5 versus 4.6 months for patients treated in the palbociclib plus fulvestrant and placebo plus fulvestrant arms, respectively. 
Safety data was evaluated in 345 patients who received palbociclib plus fulvestrant. The most common (greater than or equal to 10%) of grade 1-4 adverse reactions were neutropenia, leukopenia, infections, fatigue, nausea, anemia, stomatitis, headache, diarrhea, thrombocytopenia, constipation, vomiting, alopecia, rash, decreased appetite, and pyrexia. The most common (greater than or equal to 5%) grade 3-4 adverse reactions were neutropenia (66%) and leukopenia (31%). 
The most frequently reported serious adverse reactions in patients receiving palbociclib plus fulvestrant were infections, pyrexia, neutropenia, and pulmonary embolism). Dose reductions due to an adverse reaction of any grade occurred in 36% of patients and permanent discontinuation associated with an adverse reaction occurred in 6% of patients. 
The recommended dose and schedule of palbociclib is 125 mg daily for 21 consecutive days followed by 7 days off treatment in combination with fulvestrant treatment. The dose and schedule of fulvestrant is 500 mg intramuscularly on days 1, 15, 29 and once monthly thereafter.
Palbociclib is being approved prior to the Prescription Drug User Fee Act (PDUFA) goal date of April 15, 2016. This application was granted Priority Review and Breakthrough Therapy Designation. A description of these expedited programs is in the Guidance for Industry: Expedited Programs for Serious Conditions-Drugs and Biologics, available at: http://www.fda.gov/downloads/drugs/guidancecomplianceregulatoryinformation/guidances/ucm358301.pdf
Full prescribing information is available at: 
http://www.accessdata.fda.gov/drugsatfda_docs/label/2016/207103s002lbl.pdf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t>
  </si>
  <si>
    <t xml:space="preserve">study_ 178</t>
  </si>
  <si>
    <t xml:space="preserve">FDA approved elotuzumab (EMPLICITI, Bristol-Myers Squibb Company) in combination with lenalidomide and dexamethasone for the treatment of patients with multiple myeloma who have received one to three prior therapies. More Information. November 30, 2015</t>
  </si>
  <si>
    <t xml:space="preserve">https://wayback.archive-it.org/7993/20170111064250/http%3A//www.fda.gov/Drugs/InformationOnDrugs/ApprovedDrugs/ucm474719.htm</t>
  </si>
  <si>
    <t xml:space="preserve">Elotuzumab
Share
Tweet
Linkedin
Pin it
More sharing options
Linkedin
Pin it
Email
Print
On November 30, 2015, the U. S. Food and Drug Administration approved elotuzumab (EMPLICITI, Bristol-Myers Squibb Company) in combination with lenalidomide and dexamethasone for the treatment of patients with multiple myeloma who have received one to three prior therapies. 
Elotuzumab is a monoclonal antibody directed against Signaling Lymphocyte Activation Molecule Family 7 (SLAMF7). SLAMF7 is present on myeloma cells and is also present on natural killer cells.
The approval was based on a multicenter, randomized, open-label, controlled trial evaluating progression-free survival (PFS) and overall response rate (ORR) in patients with relapsed or refractory multiple myeloma who had received 1 to 3 prior lines of therapy. A total of 646 patients were randomized (1:1) to receive elotuzumab in combination with lenalidomide and dexamethasone (n=321) or lenalidomide plus dexamethasone alone (n=325). Patients continued treatment until disease progression or the development of unacceptable toxicity.
The trial demonstrated a statistically significant improvement in both PFS and ORR, the trial’s co-primary endpoints. The median PFS in the elotuzumab-containing arm was 19.4 months and 14.9 months in the lenalidomide plus dexamethasone alone arm (hazard ratio 0.70, 95% CI: 0.57, 0.85; p = 0.0004). The ORR in the elotuzumab-containing arm was 78.5% (95% CI: 73.6, 82.9) compared to 65.5% (95% CI: 60.1, 70.7) in the lenalidomide plus dexamethasone alone arm (p=0.0002).
The safety data reflect exposure in 318 patients to elotuzumab in combination with lenalidomide and dexamethasone and 317 patients to lenalidomide plus dexamethasone. The most common adverse reactions (greater than or equal to 20%), with an increased rate in the elotuzumab arm compared to the control arm, were fatigue, diarrhea, pyrexia, constipation, cough, peripheral neuropathy, nasopharyngitis, upper respiratory tract infection, decreased appetite, and pneumonia.
Other important adverse reactions include infusion reactions, infections, second primary malignancies, hepatotoxicity, and interference with determination of complete response. As elotuzumab is an IgG kappa monoclonal antibody, it can be detected in the serum protein electrophoresis and immunofixation assays used to assess response.
Serious adverse events occurred in 65.4% of patients in the elotuzumab-containing arm compared to 56.5% in the lenalidomide plus dexamethasone alone arm. The most common serious adverse reactions were pneumonia, pyrexia, respiratory tract infection, anemia, pulmonary embolism, and acute renal failure.
The recommended dose and schedule for elotuzumab is 10 mg/kg intravenously every week for the first two cycles and every 2 weeks, thereafter, until disease progression or unacceptable toxicity with lenalidomide 25 mg daily orally on days 1 through 21. Dexamethasone is administered as follows: In weeks with elotuzumab infusion, dexamethasone is to be administered in divided doses, 8 mg intravenously prior to infusion and 28 mg orally; in weeks without elotuzumab infusion, dexamethasone is to be administered 40 mg orally. Pre-medication with an H1 blocker, H2 blocker, and acetaminophen should be administered prior to elotuzumab infusion.
Elotuzumab is being approved prior to the Prescription Drug User Fee Act (PDUFA) goal date of February 29, 2016. This application was granted priority review and had breakthrough therapy designation. A description of these expedited programs is in the Guidance for Industry: Expedited Programs for Serious Conditions-Drugs and Biologics, available at: http://www.fda.gov/downloads/drugs/guidancecomplianceregulatoryinformation/guidances/ucm358301.pdf
Full prescribing information is available at: http://www.accessdata.fda.gov/drugsatfda_docs/label/2015/761035s000lbl.pdf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t>
  </si>
  <si>
    <t xml:space="preserve">study_ 179</t>
  </si>
  <si>
    <t xml:space="preserve">FDA granted approval to necitumumab (PORTRAZZA, Eli Lilly and Company) in combination with gemcitabine and cisplatin for first-line treatment of patients with metastatic squamous non-small cell lung cancer (NSCLC). Necitumumab is not indicated for treatment of non-squamous NSCLC. More Information. November 24, 2015</t>
  </si>
  <si>
    <t xml:space="preserve">https://wayback.archive-it.org/7993/20170111064250/http%3A//www.fda.gov/Drugs/InformationOnDrugs/ApprovedDrugs/ucm474278.htm</t>
  </si>
  <si>
    <t xml:space="preserve">Necitumumab
Share
Tweet
Linkedin
Pin it
More sharing options
Linkedin
Pin it
Email
Print
On November 24, 2015, the U.S. Food and Drug Administration granted approval to necitumumab (PORTRAZZA, Eli Lilly and Company) in combination with gemcitabine and cisplatin for first-line treatment of patients with metastatic squamous non-small cell lung cancer (NSCLC). Necitumumab is not indicated for treatment of non-squamous NSCLC.
 Necitumumab is a recombinant human IgG1 monoclonal antibody that binds to the human epidermal growth factor receptor (EGFR) and blocks the binding of EGFR to its ligands. 
Approval was based on superior overall survival (OS) for patients who were randomly allocated to necitumumab in combination with gemcitabine and cisplatin (GC) compared to GC alone in an open-label, multicenter, multinational, randomized trial in patients with metastatic squamous NSCLC who had not received prior therapy for metastatic disease (N=1093). Patients received necitumumab 800 mg by intravenous infusion on days 1 and 8, gemcitabine 1250 mg /m2 on days 1 and 8 plus cisplatin 75mg/m2 on day 1 of each 3-week cycle (N=545) or GC alone (N=548). The major efficacy outcome was OS. Progression-free survival (PFS) and overall response rate (ORR) were also assessed. Necitumumab in combination with GC demonstrated a statistically significant improvement in OS and PFS as compared with GC alone. Median OS was 11.5 months (95% CI: 10.4, 12.6) for patients assigned to necitumumab plus GC and 9.9 months (95% CI: 8.9, 11.1) for those assigned to GC alone [HR 0.84, 95% CI (0.74, 0.96); p-value = 0.01)]. Median PFS was 5.7 months for patients assigned to necitumumab plus GC and 5.5 months for those assigned to GC alone [HR=0.85, 95% CI (0.74, 0.98); p-value 0.02]. No difference in ORR between arms was observed with an ORR of 31% (95% CI: 27, 35) for necitumumab plus GC and 29% (95% CI: 25, 33) for GC alone, p-value 0.40.
Lack of efficacy of necitumumab in combination with pemetrexed and cisplatin (PC) for the treatment of patients with metastatic non-squamous NSCLC was determined in a randomized, open-label, multicenter trial. Patients with no prior chemotherapy for metastatic disease were randomized (1:1) to receive necitumumab plus PC or PC alone. The study was closed prematurely after 633 patients were enrolled due to increased incidence of death due to any cause and of thromboembolic events in the necitumumab arm. Addition of necitumumab to PC did not improve OS [HR=1.01; 95% CI (0.84, 1.21); p-value = 0.96)]; PFS [HR=0.96; 95% CI (0.8, 1.16)] or ORR (31% in the necitumumab plus PC arm and 32% in the PC alone arm).
The most common adverse reactions (all grades) observed in necitumumab-treated patients at rate of greater than or equal to 30% and greater than or equal to 2% higher than GC alone arm were rash and hypomagnesemia. Serious and clinically significant adverse events include hypomagnesemia, venous and arterial thromboembolic events, dermatologic toxicities, infusion reactions, and increased toxicity and increased mortality in patients with non-squamous NSCLC. Death attributed to cardiovascular events or sudden death was reported in 3% of the patients in the necitumumab plus gemcitabine and cisplatin arm. Health care providers should closely monitor serum electrolytes, including serum magnesium, potassium, and calcium, during and after necitumumab administration. Withhold necitumumab for grade 3 or 4 electrolyte abnormalities.
The recommended dose of necitumumab is 800 mg as an intravenous infusion over 60 minutes on days 1 and 8 of each 3-week cycle.
Full prescribing information is available: http://www.accessdata.fda.gov/drugsatfda_docs/label/2015/125547s000lbl.pdf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t>
  </si>
  <si>
    <t xml:space="preserve">study_ 180</t>
  </si>
  <si>
    <t xml:space="preserve">FDA approved trametinib (Mekinist, Novartis Pharmaceuticals Corp.) and dabrafenib (Tafinlar, Novartis Pharmaceuticals Corp.) for use in combination for the treatment of patients with unresectable or metastatic melanoma with BRAF V600E or V600K mutations as detected by an FDA-approved test. More Information. November 20, 2015.</t>
  </si>
  <si>
    <t xml:space="preserve">https://wayback.archive-it.org/7993/20170111064250/http%3A//www.fda.gov/Drugs/InformationOnDrugs/ApprovedDrugs/ucm476837.htm</t>
  </si>
  <si>
    <t xml:space="preserve">Trametinib/Dabrafenib
Share
Tweet
Linkedin
Pin it
More sharing options
Linkedin
Pin it
Email
Print
On November 20, 2015, the U. S. Food and Drug Administration (FDA) approved trametinib (Mekinist, Novartis Pharmaceuticals Corp.) and dabrafenib (Tafinlar, Novartis Pharmaceuticals Corp.) for use in combination for the treatment of patients with unresectable or metastatic melanoma with BRAF V600E or V600K mutations as detected by an FDA-approved test. 
Trametinib and dabrafenib for use in combination received accelerated approval in 2014, based on an improvement in durable objective response rates compared to dabrafenib or trametinib as single agents. Two new clinical trials described below verify the clinical benefit of the combination.
The first trial enrolled 423 patients who were randomized (1:1) to dabrafenib plus trametinib (n=211) or dabrafenib plus placebo (n=212). All patients had tumor containing BRAF V600E or V600K mutations as determined by centralized testing, 85% with BRAF V600E mutations and 15% with BRAF V600K mutations. The trial met its primary endpoint, demonstrating a significant improvement in investigator-assessed PFS [HR 0.75 (95% CI: 0.57, 0.99); p=0.035] with median PFS of 9.3 and 8.8 months in the dabrafenib/trametinib and dabrafenib/placebo arms, respectively. In addition, there was a significant improvement in OS [HR=0.71 (95% CI: 0.55, 0.92); p=0.01] with a median OS of 25.1 and 18.7 months in the dabrafenib/trametinib and dabrafenib/placebo arms, respectively. The overall response rates were 66% and 51% with median response durations of 9.2 and 10.2 months.
The second trial enrolled 704 patients who were randomized (1:1) to trametinib and dabrafenib (n=352) or to vemurafenib as a single agent (n=352). The trial met its primary endpoint, demonstrating a significant improvement in OS [HR 0.69 (95% CI: 0.53, 0.89); p=0.005]; the median OS had not been reached in combination arm and was 17.2 months in the vemurafenib arm. In addition, there was a significant improvement in PFS [HR 0.56 (95% CI: 0.46, 0.69); p &lt;0.001]with a median OS of 11.4 and 7.3 months in the combination and vemurafenib arms, respectively. The overall response rates were 64% and 51%with median response durations of 13.8 and 7.5 months in the combination and vemurafenib arms, respectively.
Safety was evaluated in the 559 patients who received dabrafenib with trametinib. The most common adverse reactions (greater than or equal to 20%) were pyrexia, nausea, rash, chills, diarrhea, headache, vomiting, hypertension, arthralgia, peripheral edema, and cough. Clinically significant serious adverse drug reactions were serious febrile reactions, cardiomyopathy, interstitial lung disease, new primary cutaneous and non-cutaneous malignancies, hemorrhage, venous thromboembolism, hyperglycemia, serious skin toxicity, uveitis, retinal pigment epithelial detachment, and retinal vein occlusion.
The recommended trametinib dose is 2 mg orally once daily until disease progression or unacceptable toxicity occurs. The recommended dabrafenib dose is 150 mg orally twice daily until disease progression or unacceptable toxicity occurs.
Full prescribing information is available at: 
Trametinib:
http://www.accessdata.fda.gov/drugsatfda_docs/label/2015/204114s004lbl.pdf
Dabrafenib:
http://www.accessdata.fda.gov/drugsatfda_docs/label/2015/202806s004lbl.pdf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t>
  </si>
  <si>
    <t xml:space="preserve">study_ 181</t>
  </si>
  <si>
    <t xml:space="preserve">FDA approved ixazomib (NINLARO, Millennium Pharmaceuticals, Inc., a wholly owned subsidiary of Takeda Pharmaceutical Company Limited) in combination with lenalidomide and dexamethasone for the treatment of patients with multiple myeloma who have received at least one prior therapy. Ixazomib is the first approved oral proteasome inhibitor. More Information. November 20, 2015</t>
  </si>
  <si>
    <t xml:space="preserve">https://wayback.archive-it.org/7993/20170111064250/http%3A//www.fda.gov/Drugs/InformationOnDrugs/ApprovedDrugs/ucm473804.htm</t>
  </si>
  <si>
    <t xml:space="preserve">Ixazomib
Share
Tweet
Linkedin
Pin it
More sharing options
Linkedin
Pin it
Email
Print
On November 20, 2015, the U.S. Food and Drug Administration approved ixazomib (NINLARO, Millennium Pharmaceuticals, Inc., a wholly owned subsidiary of Takeda Pharmaceutical Company Limited) in combination with lenalidomide and dexamethasone for the treatment of patients with multiple myeloma who have received at least one prior therapy. Ixazomib is the first approved oral proteasome inhibitor.
The approval was based on an improvement in progression- free survival (PFS) in a multicenter, randomized, double-blind, placebo-controlled trial enrolling 722 patients with multiple myeloma who had received 1 to 3 prior lines of therapy. Patients were randomized in a 1:1 ratio to either the combination of ixazomib, lenalidomide and dexamethasone (n=360) or the combination of placebo, lenalidomide and dexamethasone (n=362). Patients continued treatment until disease progression or unacceptable toxicity. 
The trial showed a statistically significant improvement in PFS. The median PFS on the combination arm of ixazomib, lenalidomide and dexamethasone was 20.6 months
(95% CI: 17.0, NE) compared to a median PFS of 14.7 months (95% CI: 12.9, 17.6) on the combination arm of placebo, lenalidomide and dexamethasone (PFS HR 0.74, 95% CI: 0.59, 0.94; p value=0.012).
The more common (&gt;20%) adverse reactions associated with an increased rate on the ixazomib combination arm compared to the placebo combination arm were diarrhea, constipation, thrombocytopenia, peripheral neuropathy, nausea, peripheral edema, vomiting, and back pain.
The recommended starting dose of ixazomib is 4 mg orally on days 1, 8, and 15 of a 28 day cycle in combination with lenalidomide 25 mg daily on days 1 through 21 and dexamethasone 40 mg on days 1, 8, 15, and 22 of a 28 day treatment cycle.
This application was approved before its Prescription Drug User Fee Act (PDUFA) date of March 10, 2016. The application was granted Priority Review. A description of expedited review programs is in the Guidance for Industry: Expedited Programs for Serious Conditions-Drugs and Biologics, available at: http://www.fda.gov/downloads/drugs/guidancecomplianceregulatoryinformation/guidances/ucm358301.pdf
Full prescribing information is available at: 
http://www.accessdata.fda.gov/drugsatfda_docs/label/2015/208462lbl.pdf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t>
  </si>
  <si>
    <t xml:space="preserve">study_ 182</t>
  </si>
  <si>
    <t xml:space="preserve">FDA approved cobimetinib (COTELLIC Tablets, Genentech, Inc.) for the treatment of patients with unresectable or metastatic melanoma with BRAF V600E or V600K mutation, in combination with vemurafenib. Cobimetinib is not indicated for treatment of patients with wild-type BRAF melanoma. More Information. November 10, 2015</t>
  </si>
  <si>
    <t xml:space="preserve">https://wayback.archive-it.org/7993/20170111064250/http%3A//www.fda.gov/Drugs/InformationOnDrugs/ApprovedDrugs/ucm472193.htm</t>
  </si>
  <si>
    <t xml:space="preserve">Cobimetinib
Share
Tweet
Linkedin
Pin it
More sharing options
Linkedin
Pin it
Email
Print
On November 10, 2015, the U.S. Food and Drug Administration approved cobimetinib (COTELLIC Tablets, Genentech, Inc.) for the treatment of patients with unresectable or metastatic melanoma with a BRAF V600E or V600K mutation, in combination with vemurafenib. Cobimetinib is not indicated for treatment of patients with wild-type BRAF melanoma.
The approval was based on the demonstration of improved progression-free survival (PFS) and overall survival (OS) in a multicenter, double-blind, randomized, active-controlled trial conducted in 495 patients with previously untreated, BRAF V600 mutation-positive, unresectable or metastatic melanoma as detected using the cobas 4800 BRAF V600 mutation test. All patients received vemurafenib 960 mg orally twice daily and were randomized (1:1) to receive cobimetinib 60 mg (n=247) or matching placebo (n=248) orally once daily on days 1-21 of an every 28-day cycle. The median age of the study population was 55 years (range 23 to 88 years), 58% of patients were male, 93% were White and 5% had no race reported, 60% had stage M1c disease, 72% had a baseline ECOG performance status of 0, 45% had an elevated baseline serum lactate dehydrogenase (LDH), 10% had received prior adjuvant therapy, and less than 1% had previously treated brain metastases.
The trial demonstrated a statistically significant improvement in PFS [HR: 0.56 (95% CI: 0.45, 0.70), p &lt; 0.001]; the median PFS was 12.3 months (95% CI: 9.5, 13.4) and 7.2 months (95% CI: 5.6, 7.5) on the cobimetinib plus vemurafenib and single-agent vemurafenib arms, respectively. The trial also demonstrated a statistically significant improvement in OS based on an interim analysis [HR: 0.63 (95% CI: 0.47, 0.85); stratified log-rank p-value=0.0019]; the median OS was not reached (NR) (95% CI: 20.7, NR) and was 17 months (95% CI: 15.0, NR) on the cobimetinib plus vemurafenib and single-agent vemurafenib arms, respectively. The confirmed objective response rates were 70% (95% CI: 64, 75) and 50% (95% CI: 44, 56) on the cobimetinib plus vemurafenib and single-agent vemurafenib arms, respectively (p &lt; 0.001).
Safety data was evaluated in 247 patients who received at least one dose of cobimetinib. The most common adverse reactions were diarrhea (60%), photosensitivity reaction (46%), nausea (41%), pyrexia (28%), and vomiting (24%). The most common (greater than or equal to 5%) Grade 3-4 adverse reaction was diarrhea (6%). The most common Grade 3-4 laboratory abnormalities with cobimetinib were increased GGT (21%), increased creatine phosphokinase (14%), hypophosphatemia (12%), increased alanine aminotransferase (11%), lymphopenia (10%), increased aspartate aminotransferase (8%), increased alkaline phosphatase (7%), hyponatremia (6%), and hypokalemia (5%).
The most serious risks in patients receiving cobimetinib were new primary malignancies, hemorrhage, cardiomyopathy, severe dermatologic reactions, serous retinopathy and retinal vein occlusion, hepatotoxicity, rhabdomyolysis, and severe photosensitivity reactions.
The recommended dose and schedule of cobimetinib is 60 mg orally once daily on days 1-21 of an every 28-day cycle.
The development program for cobimetinib for this indication was designated as a Fast Track development program for this indication and this application received Priority Review designation. A description of these expedited programs is in the Guidance for Industry: Expedited Programs for Serious Conditions-Drugs and Biologics, available at: http://www.fda.gov/downloads/drugs/guidancecomplianceregulatoryinformation/guidances/ucm358301.pdf.
Full prescribing information is available at: http://www.accessdata.fda.gov/drugsatfda_docs/label/2015/206192s000lbl.pdf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t>
  </si>
  <si>
    <t xml:space="preserve">study_ 183</t>
  </si>
  <si>
    <t xml:space="preserve">FDA approved irinotecan liposome injection (ONIVYDE, Merrimack Pharmaceuticals, Inc.), administered in combination with fluorouracil (5FU) and leucovorin (LV), for the treatment of patients with metastatic adenocarcinoma of the pancreas whose disease has progressed following gemcitabine-based therapy. More Information. October 22, 2015</t>
  </si>
  <si>
    <t xml:space="preserve">https://wayback.archive-it.org/7993/20170111064250/http%3A//www.fda.gov/Drugs/InformationOnDrugs/ApprovedDrugs/ucm468728.htm</t>
  </si>
  <si>
    <t xml:space="preserve">Irinotecan liposome injection
Share
Tweet
Linkedin
Pin it
More sharing options
Linkedin
Pin it
Email
Print
On October 22, 2015, the U. S. Food and Drug Administration approved irinotecan liposome injection (ONIVYDE, Merrimack Pharmaceuticals, Inc.), administered in combination with fluorouracil (5FU) and leucovorin (LV), for the treatment of patients with metastatic adenocarcinoma of the pancreas whose disease has progressed following gemcitabine-based therapy. Irinotecan liposome is not approved for use as a single agent for the treatment of patients with metastatic adenocarcinoma of the pancreas.
The approval was based on the demonstration of improved overall survival (OS) in a multicenter, randomized, open-label, active-controlled, three-arm trial enrolling 417 patients with metastatic pancreatic adenocarcinoma with documented disease progression after gemcitabine-based therapy. Patients were randomly allocated (1:1:1) to receive irinotecan liposome in combination with 5FU and LV (n=117), irinotecan liposome (n=151), or 5FU and LV (n=149) until disease progression or unacceptable toxicity. Patients homozygous for the UGT1A1*28 allele initiated treatment with irinotecan liposome at a reduced dose in the two irinotecan liposome-containing arms. The primary study endpoint was OS, with comparisons of each of the two irinotecan liposome-containing arms with the 5FU/LV control arm; progression-free survival (PFS) and overall response rate (ORR) were secondary endpoints. 
The trial showed a statistically significant improvement in OS [HR 0.68 (95% CI: 0.50, 0.93), p=0.014, log-rank test] for patients randomized to receive irinotecan liposome in combination with 5FU and LV compared to those randomized to receive 5FU/LV; the median OS was 6.1 and 4.2 months, respectively. PFS was also significantly longer in patients randomized to receive irinotecan liposome plus 5FU/ LV compared to those randomized to receive 5FU/LV [HR 0.55 (95% CI: 0.41, 0.75)], with median PFS of 3.1 and 1.5 months, respectively. The ORR was low in both arms (7.7% vs. 0.8%). There was no improvement in OS for patients randomized to receive irinotecan liposome alone compared to those randomized to receive 5FU/LV [hazard ratio=1.00, p =0.97].
Serious risks of irinotecan liposome injection include neutropenic fever or sepsis, severe diarrhea, and interstitial lung disease. Severe hypersensitivity reactions have occurred with irinotecan hydrochloride; irinotecan liposome injection is contraindicated in patients with severe allergic reactions to irinotecan liposome or irinotecan hydrochloride. The most common adverse drug reactions were diarrhea, fatigue/asthenia, vomiting, nausea, decreased appetite, stomatitis, and pyrexia. The most common severe (Grade 3-4) laboratory abnormalities were lymphopenia, and neutropenia. The most frequent adverse reactions resulting in discontinuationof irinotecan liposome were diarrhea, vomiting, and sepsis. The most frequent adverse reactions leading to dose reductions or delays were neutropenia, diarrhea, nausea/vomiting, anemia, fatigue, and thrombocytopenia.
The recommended dose and schedule of irinotecan liposome is 70 mg/m2 administered by intravenous infusion over 90 minutes, prior to leucovorin and fluorouracil, every two weeks. For patients homozygous for the UGT1A1*28 allele, the recommended starting dose of irinotecan liposome is 50 mg/m2 every two weeks.
Full prescribing information is available at: http://www.accessdata.fda.gov/drugsatfda_docs/label/2015/207793lbl.pdf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t>
  </si>
  <si>
    <t xml:space="preserve">study_ 184</t>
  </si>
  <si>
    <t xml:space="preserve">FDA granted accelerated approval to nivolumab (Opdivo Injection, Bristol-Myers Squibb Company) in combination with ipilimumab for the treatment of patients with BRAF V600 wild-type, unresectable or metastatic melanoma. More Information. September 30, 2015</t>
  </si>
  <si>
    <t xml:space="preserve">https://wayback.archive-it.org/7993/20170111064250/http%3A//www.fda.gov/Drugs/InformationOnDrugs/ApprovedDrugs/ucm465274.htm</t>
  </si>
  <si>
    <t xml:space="preserve">Nivolumab in combination with ipilimumab
Share
Tweet
Linkedin
Pin it
More sharing options
Linkedin
Pin it
Email
Print
On September 30, 2015, the U. S. Food and Drug Administration granted accelerated approval to nivolumab (Opdivo Injection, Bristol-Myers Squibb Company) in combination with ipilimumab for the treatment of patients with BRAF V600 wild-type, unresectable or metastatic melanoma.
Approval was based on demonstration of an increase in the objective response rate (ORR), prolonged response durations, and improvement in progression-free survival (PFS) in an international, multicenter, double-blind, randomized, two-arm, active-controlled trial in patients who were previously untreated for unresectable or metastatic, BRAF V600 wild-type melanoma.
The clinical trial randomized (2:1) 142 patients to receive nivolumab plus ipilimumab (n=95) or ipilimumab plus placebo (n=47). Randomization was stratified by BRAF V600 mutation status based on an FDA-approved test. Patients in the nivolumab plus ipilimumab arm received nivolumab 1 mg/kg and ipilimumab 3 mg/kg intravenously every 3 weeks for four doses, then nivolumab 3 mg/kg every 2 weeks until disease progression or unacceptable toxicity. Patients in the ipilimumab arm received ipilimumab 3 mg/kg and nivolumab-matched placebo intravenously every 3 weeks for four doses followed by placebo. At the time of disease progression, patients on the ipilimumab arm were offered nivolumab 3 mg/kg every 2 weeks.
Of the 109 patients with BRAF V600 wild-type melanoma, the median age was 66 years and ECOG performance score was 0 (84%) or 1 (15%). Forty-six percent had M1c disease and 20% had elevated baseline LDH.
The trial demonstrated a significant improvement in ORR. The ORR was 60% [95% confidence interval (CI): 48, 71] in the nivolumab plus ipilimumab group (n=72) and 11% [95% CI: 3, 25] in the ipilimumab group (n=37), an improvement in ORR of 49% (95% CI: 31, 61; p-value &lt;0.001). Of the 43 patients with an objective response in the nivolumab plus ipilimumab group, 9 patients (21%) with response duration ranging from 3 to 7 months have progressed after response, died, or received subsequent therapy. The remaining 34 patients (79%) had ongoing responses at the time of final analysis; in 14 patients the duration of ongoing responses is at least 6 months but less than 9 months and in 20 patients the duration of ongoing responses is at least 9 months. In addition, there was a significant improvement in PFS for the combination group compared with the ipilimumab group [HR 0.40 (95% CI: 0.22, 0.71); p-value &lt; 0.002] with an estimated median PFS of 8.9 and 4.7 months in the nivolumab plus ipilimumab and ipilimumab groups, respectively.
Among the 140 patients with BRAF V600 wild-type or mutation-positive melanoma who received at least one dose of nivolumab or ipilimumab, serious adverse reactions (62% vs. 39%), adverse reactions leading to permanent discontinuation (43% vs. 11%) or dose delay (47% vs. 22%), and grade 3 or 4 adverse reactions (69% vs. 43%) all occurred more frequently in patients receiving the combination (n= 94) compared with those receiving single-agent ipilimumab (n=46). The most frequent serious adverse reactions in patients receiving the combination were colitis (17%), diarrhea (9%), pyrexia (6%), and pneumonitis (5%). Additional clinically significant immune-mediated adverse reactions included pneumonitis, hepatitis, endocrinopathies, nephritis/renal dysfunction, and rash.
Common adverse reactions (greater than or equal to 20%) in patients receiving nivolumab plus ipilimumab were rash, pruritus, headache, vomiting, and colitis. The most frequent grade 3 and 4 laboratory abnormalities occurring in at least 5% of patients receiving the combination were increased ALT, increased AST, increased lipase, increased amylase, hyponatremia, and lymphopenia.
When used in combination with ipilimumab, the recommended dose and schedule is nivolumab 1 mg/kg administered as an intravenous infusion over 60 minutes, followed by ipilimumab on the same day, every 3 weeks for four doses. The recommended subsequent dose of nivolumab, as a single agent, is 3 mg/kg as an intravenous infusion over 60 minutes every 2 weeks until disease progression or unacceptable toxicity.
Full prescribing information is available: http://www.accessdata.fda.gov/drugsatfda_docs/label/2015/125554s002lbl.pdf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t>
  </si>
  <si>
    <t xml:space="preserve">study_ 185</t>
  </si>
  <si>
    <t xml:space="preserve">FDA approved trifluridine/tipiracil (LONSURF, Taiho Oncology, Inc.) for the treatment of patients with metastatic colorectal cancer who have been previously treated with fluoropyrimidine-, oxaliplatin- , and irinotecan-based chemotherapy, an anti-VEGF biologic product, and an anti-EGFR monoclonal antibody, if RAS wild-type. More Information. September 22, 2015</t>
  </si>
  <si>
    <t xml:space="preserve">https://wayback.archive-it.org/7993/20170111064250/http%3A//www.fda.gov/Drugs/InformationOnDrugs/ApprovedDrugs/ucm463743.htm</t>
  </si>
  <si>
    <t xml:space="preserve">yes</t>
  </si>
  <si>
    <t xml:space="preserve">Combination group: Lonsurf (trifluridine + tipiracil), Single group: placebo</t>
  </si>
  <si>
    <t xml:space="preserve">Trifluridine/tipiracil
Share
Tweet
Linkedin
Pin it
More sharing options
Linkedin
Pin it
Email
Print
On September 22, 2015, the U. S. Food and Drug Administration approved trifluridine/tipiracil (LONSURF, Taiho Oncology, Inc.) for the treatment of patients with metastatic colorectal cancer who have been previously treated with fluoropyrimidine-, oxaliplatin- , and irinotecan-based chemotherapy, an anti-VEGF biologic product, and an anti-EGFR monoclonal antibody, if RAS wild-type.
The approval was based on the demonstration of improved overall survival (OS) in a multicenter, double-blind, placebo-controlled trial (TPU-TAS-102-301). A total of 800 patients with previously treated metastatic colorectal cancer were randomly allocated (2:1) to receive trifluridine/tipiracil (N=534) plus best supportive care (BSC) or matching placebo (N=266) plus BSC. Key eligibility criteria included ECOG 0-1, absence of brain metastasis, and absence of ascites requiring drainage in the past four weeks. Patients received 35 mg/m2 trifluridine/tipiracil (based on trifluridine component) or matching placebo orally twice daily on days 1 - 5 and 8 – 12 of each 28-day cycle until disease progression or unacceptable toxicity. 
A statistically significant improvement in OS was demonstrated [HR 0.68 (95% CI: 0.58, 0.81), p&lt;0.001, stratified log-rank test]; the median OS was 7.1 and 5.3 months in the trifluridine/tipiracil and placebo arms, respectively. PFS was also improved in patients randomly allocated to receive trifluridine/tipiracil [HR 0.47 (95% CI: 0.40, 0.55), p&lt;0.001, stratified log-rank test]. 
The most common adverse drug reactions or laboratory abnormalities were anemia, neutropenia, asthenia/fatigue, nausea, thrombocytopenia, decreased appetite, diarrhea, vomiting, abdominal pain, and pyrexia. The most common adverse reactions leading to dose reduction were neutropenia, anemia, febrile neutropenia, fatigue, and diarrhea. 
The recommended dose and schedule for trifluridine/tipiracil is 35 mg/m2 (based on trifluridine component) orally twice daily within one hour of completion of morning and evening meals on days 1 through 5 and days 8 through 12 of each 28-day cycle until disease progression or unacceptable toxicity.
Full prescribing information is available at: 
http://www.accessdata.fda.gov/drugsatfda_docs/label/2015/207981s000lbl.pdf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t>
  </si>
  <si>
    <t xml:space="preserve">study_ 186</t>
  </si>
  <si>
    <t xml:space="preserve">NCT01607957</t>
  </si>
  <si>
    <t xml:space="preserve">TPU-TAS-102-301</t>
  </si>
  <si>
    <t xml:space="preserve">FDA approved carfilzomib (Kyprolis, Onyx Pharmaceuticals, Inc., an Amgen subsidiary) in combination with lenalidomide and dexamethasone for the treatment of patients with relapsed multiple myeloma who have received one to three prior lines of therapy. More Information. July 24, 2015</t>
  </si>
  <si>
    <t xml:space="preserve">https://wayback.archive-it.org/7993/20170111064250/http%3A//www.fda.gov/Drugs/InformationOnDrugs/ApprovedDrugs/ucm455873.htm</t>
  </si>
  <si>
    <t xml:space="preserve">Carfilzomib /Kyprolis
Share
Tweet
Linkedin
Pin it
More sharing options
Linkedin
Pin it
Email
Print
On July 24, 2015, the U. S. Food and Drug Administration approved carfilzomib (Kyprolis, Onyx Pharmaceuticals, Inc., an Amgen subsidiary) in combination with lenalidomide and dexamethasone for the treatment of patients with relapsed multiple myeloma who have received one to three prior lines of therapy.
The approval was based on a demonstration of improved progression-free survival (PFS) in a multicenter, open-label trial (PX-171-009 ASPIRE). The trial enrolled 792 patients with relapsed or refractory multiple myeloma after 1-3 lines of prior therapies. The patients were randomized (1:1) to receive lenalidomide and dexamethasone with or without carfilzomib for 18 cycles. Lenalidomide and dexamethasone were continued thereafter until disease progression. There was no planned cross-over from the control arm to treatment with carfilzomib.
A statistically significant prolongation of PFS, as determined by an independent review committee, was demonstrated [HR 0.69 (95% CI: 0.57, 0.83); p = 0.0001, stratified log-rank test]. Median PFS was 26.3 months in the 3-drug arm and 17.6 months in the 2-drug arm. A treatment effect was observed across all subgroups tested, but the magnitude of the treatment effect was reduced in patients with higher tumor burden at study baseline (improvement in median PFS 11 months for ISS Stage I, 8 months for ISS Stage II and 2 months for ISS Stage III). 
An interim analysis of overall survival (OS), the key secondary endpoint, was conducted at the same time. The difference in OS did not reach the prespecified boundary for statistical significance. A partial response or better was achieved by 87% of patients on the 3-drug arm and 67% on the 2-drug arm.
The safety profile of carfilzomib in the 3-drug combination was similar to that described in the current label. Cardiovascular events, venous thromboembolic events (VTE), and thrombocytopenia occurred more frequently in the 3-drug arm than in the 2-drug arm. 
In Cycles 1-12 of therapy, the VTE rate was 13% vs 6%, respectively, despite protocol-mandated use of thromboprophylaxis. 
The revised labeling includes new Warnings and Precautions for VTE, cardiac toxicities, acute renal failure, pulmonary toxicities, and hypertension. The increased safety risks, including mortality, for elderly patients is described. Detailed safety information in the prescribing information was also updated for use of carfilzomib monotherapy. 
Healthcare providers should note that the recommended dose-schedule for carfilzomib has been revised for use as monotherapy or in combination with lenalidomide and dexamethasone.
Full prescribing information, including clinical trial information, safety, dosing, drug-drug interactions and contraindications is available at: http://www.accessdata.fda.gov/drugsatfda_docs/label/2015/202714s009lbl.pdf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t>
  </si>
  <si>
    <t xml:space="preserve">study_ 187</t>
  </si>
  <si>
    <t xml:space="preserve">NCT01080391</t>
  </si>
  <si>
    <t xml:space="preserve">ASPIRE</t>
  </si>
  <si>
    <t xml:space="preserve">PX-171-009 ASPIRE</t>
  </si>
  <si>
    <t xml:space="preserve">FDA approved approved ramucirumab (CYRAMZA, Eli Lilly and Company) for use in combination with FOLFIRI for the treatment of patients with metastatic colorectal cancer (mCRC) whose disease has progressed on a first line bevacizumab-, oxaliplatin- and fluoropyrimidine-containing regimen. Ramucirumab is a recombinant human monoclonal IgG1 antibody that binds to the human vascular endothelial growth factor- receptor 2 (VEGF-R2), preventing the interaction of VEGF-R2 to its ligands. More Information. April 24, 2015 </t>
  </si>
  <si>
    <t xml:space="preserve">https://wayback.archive-it.org/7993/20170111064250/http%3A//www.fda.gov/Drugs/InformationOnDrugs/ApprovedDrugs/ucm444496.htm</t>
  </si>
  <si>
    <t xml:space="preserve">Ramucirumab mCRC
Share
Tweet
Linkedin
Pin it
More sharing options
Linkedin
Pin it
Email
Print
On April 24, 2015, the U. S. Food and Drug Administration approved ramucirumab (CYRAMZA®, Eli Lilly and Company) for use in combination with FOLFIRI for the treatment of patients with metastatic colorectal cancer (mCRC) whose disease has progressed on a first line bevacizumab-, oxaliplatin- and fluoropyrimidine-containing regimen. Ramucirumab is a recombinant human monoclonal IgG1 antibody that binds to the human vascular endothelial growth factor- receptor 2 (VEGF-R2), preventing the interaction of VEGF-R2 to its ligands.
This approval is based on the results of a randomized, double-blind, multinational trial enrolling patients with mCRC that progressed during or within 6 months of discontinuation of bevacizumab-, oxaliplatin- and fluoropyrimidine-based combination chemotherapy.
The clinical trial accrued 1072 patients who were randomly allocated (1:1) to receive FOLFIRI plus placebo or FOLFIRI plus ramucirumab (N=536 per arm). Treatment cycles on both arms were repeated every 2 weeks and ramucirumab was administered at a dose of 8 mg/kg by intravenous infusion every two weeks. Ramucirumab was continued until disease progression or unacceptable toxicity. 
The primary efficacy endpoint was overall survival (OS). Treatment assignment was stratified by geographic region (North America vs. Europe vs. other regions), KRAS status (wild-type vs. mutant) and time to progression for the beginning of first-line treatment (&lt; 6 months vs. greater than or equal to 6 months). 
The median age of the study population was 62 years, 57% were men, and 99% had an ECOG performance status of 0 or 1. A statistically significant OS improvement was observed in patients receiving FOLFIRI plus ramucirumab compared to those receiving FOLFIRI plus placebo [HR 0.85 (95% CI: 0.73, 0.98), p=0.023, stratified log-rank test]. Median OS was 13.3 and 11.7 months for patients on the FOLFIRI plus ramucirumab and FOLFIRI plus placebo arms, respectively. PFS was also significantly improved in patients who received ramucirumab in combination with FOLFIRI [HR 0.79 (95% CI: 0.70, 0.90), p&lt;0.001]. Median PFS was 5.7 and 4.5 months, respectively. 
In general, the safety data was consistent with the known safety profile established in previously approved indications. However, thyroid dysfunction (hypothyroidism) was reported in 2.6% of patients based on thyroid monitoring in patients with mCRC.
The recommended dose and schedule in patients receiving ramucirumab in combination with FOLFIRI after progression on a first-line bevacizumab containing regimen is 8 mg/kg administered every 2 weeks as a 60-minute IV infusion. 
Full prescribing information is available at: 
http://www.accessdata.fda.gov/drugsatfda_docs/label/2015/125477s011lbl.pdf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t>
  </si>
  <si>
    <t xml:space="preserve">study_ 188</t>
  </si>
  <si>
    <t xml:space="preserve">FDA approved dinutuximab (Unituxin, United Therapeutics Corporation), in combination with granulocyte-macrophage colony-stimulating factor (GM-CSF), interleukin-2 (IL-2), and 13-cis-retinoic acid (RA), for the treatment of pediatric patients with high-risk neuroblastoma who achieve at least a partial response to prior first-line multiagent, multimodality therapy.More Information. March 10, 2015</t>
  </si>
  <si>
    <t xml:space="preserve">https://wayback.archive-it.org/7993/20170111064250/http%3A//www.fda.gov/Drugs/InformationOnDrugs/ApprovedDrugs/ucm437480.htm</t>
  </si>
  <si>
    <t xml:space="preserve">Dinutuximab
Share
Tweet
Linkedin
Pin it
More sharing options
Linkedin
Pin it
Email
Print
On March 10, 2015, the U. S. Food and Drug Administration approved dinutuximab (Unituxin, United Therapeutics Corporation), in combination with granulocyte-macrophage colony-stimulating factor (GM-CSF), interleukin-2 (IL-2), and 13-cis-retinoic acid (RA), for the treatment of pediatric patients with high-risk neuroblastoma who achieve at least a partial response to prior first-line multiagent, multimodality therapy. Dinutuximab is a chimeric monoclonal antibody (also known as ch 14.18), composed of a combination of mouse and human DNA.
The approval was based on demonstration of improved event-free survival (EFS) and overall survival (OS) in a multicenter, open-label, randomized trial conducted by the Children’s Oncology Group. Prior to enrollment, patients had achieved at least a partial response to prior therapy for newly diagnosed high-risk neuroblastoma, consisting of induction combination chemotherapy, maximum feasible surgical resection, and myeloablative consolidation chemotherapy, and also received autologous stem cell transplant and radiation therapy. 
The trial randomized (1:1) 226 patients to either the dinutuximab/RA arm or the RA alone arm. Patients in each arm received six cycles of treatment. The dinutuximab/RA arm consisted of dinutuximab in combination with GM-CSF and RA (cycles 1, 3, and 5), dinutuximab in combination with IL-2 and RA (cycles 2 and 4), and RA (cycle 6). Patients were 11 months to 15 years of age (median age 3.8 years).
The major efficacy outcome measure was investigator-assessed EFS, defined as the time from randomization to the first occurrence of relapse, progressive disease, secondary malignancy, or death. At the seventh interim analysis, an improvement in EFS [HR 0.57 (95% CI: 0.37, 0.89); p = 0.01, log-rank test] was demonstrated and four remaining patients undergoing treatment on the RA arm crossed over to receive dinutuximab/RA. The median EFS was not reached (3.4 years, NR) in the dinutuximab/RA arm and was 1.9 years (1.3, NR) in the RA arm. An analysis of overall survival (OS) conducted three years later documented an improvement in OS in the dinutuximab/RA arm compared to the RA arm [HR 0.58 (95% CI: 0.37, 0.91)]. At the time of this survival analysis, median OS had not been reached in either arm.
Safety data was evaluated in 134 patients. The most common (greater than or equal to 25%) adverse drug reactions in the dinutuximab/RA group were pain, pyrexia, thrombocytopenia, infusion reactions, hypotension, hyponatremia, increased alanine aminotransferase, anemia, vomiting, diarrhea, hypokalemia, capillary leak syndrome, neutropenia, urticaria, hypoalbuminemia, increased aspartate aminotransferase, and hypocalcemia. The most common (greater than or equal to 5%) serious adverse reactions in the dinutuximab/RA group were infections, infusion reactions, hypokalemia, hypotension, pain, fever, and capillary leak syndrome.
Seventy-one percent of patients in the dinutuximab/RA arm and 77% of patients in the RA alone arm completed planned treatment. The most common reason for premature discontinuation of study therapy was adverse reactions in the dinutuximab/RA group (19%) and progressive disease (17%) in the RA group. 
The recommended dose and schedule for dinutuximab is 17.5 mg/m2/day as a diluted intravenous infusion over 10 to 20 hours for 4 consecutive days for up to 5 cycles. Patients require intravenous treatment with opioids prior to, during, and for 2 hours following the dinutuximab infusion to mitigate neuropathic pain. Patients also require prehydration and premedication to decrease the risk of hypotension and serious infusion reactions with dinutuximab.
Full prescribing information, including clinical trial information, safety, dosing, drug-drug interactions and contraindications is available at: http://www.accessdata.fda.gov/drugsatfda_docs/label/2015/125516s000lbl.pdf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Unituxin is a trademark of United Therapeutics Corporation.</t>
  </si>
  <si>
    <t xml:space="preserve">study_ 189</t>
  </si>
  <si>
    <t xml:space="preserve">CH14.18; CHILDREN’S ONCOLOGY GROUP</t>
  </si>
  <si>
    <t xml:space="preserve">CHILDREN’S ONCOLOGY GROUP</t>
  </si>
  <si>
    <t xml:space="preserve">FDA granted accelerated approval to panobinostat (FARYDAK capsules, Novartis Pharmaceuticals) in combination with bortezomib and dexamethasone for the treatment of patients with multiple myeloma who have received at least two prior regimens, including bortezomib and an immunomodulatory agent. As a condition of this accelerated approval, FDA requires the sponsor to conduct a trial to verify and describe the clinical benefit of panobinostat for patients with multiple myeloma. More Information. February 23, 2015</t>
  </si>
  <si>
    <t xml:space="preserve">https://wayback.archive-it.org/7993/20170111064250/http%3A//www.fda.gov/Drugs/InformationOnDrugs/ApprovedDrugs/ucm435339.htm</t>
  </si>
  <si>
    <t xml:space="preserve">Panobinostat
Share
Tweet
Linkedin
Pin it
More sharing options
Linkedin
Pin it
Email
Print
On February 23, 2015, the U.S. Food and Drug Administration (FDA) granted accelerated approval to panobinostat (FARYDAK capsules, Novartis Pharmaceuticals) in combination with bortezomib and dexamethasone for the treatment of patients with multiple myeloma who have received at least two prior regimens, including bortezomib and an immunomodulatory agent. As a condition of this accelerated approval, FDA requires the sponsor to conduct a trial to verify and describe the clinical benefit of panobinostat for patients with multiple myeloma.
Panobinostat is a histone deacetylase inhibitor.
The approval was based on the results of progression-free survival (PFS) in a subgroup of patients from a randomized, international, two-arm, placebo-controlled trial evaluating panobinostat (or placebo) in combination with bortezomib and dexamethasone. In this pre-specified subgroup of 193 patients who had received prior treatment with bortezomib and an immunomodulatory agent, the median age was 60 years (range 28-79). 
The primary efficacy endpoint was PFS determined by investigators. The median PFS values were 10.6 and 5.8 months in the panobinostat-containing arm (panobinostat-bortezomib-dexamethasone) and control (placebo-bortezomib-dexamethasone), respectively [HR 0.52 (95% CI: 0.36, 0.76)]. Overall response rates were 58.5% (95% CI:47.9, 68.6) in the panobinostat arm and 41.4% (95% CI:31.6, 51.8) in the placebo arm.
Safety was evaluated in 758 patients with relapsed multiple myeloma who were treated with panobinostat-bortezomib-dexamethasone or placebo-bortezomib-dexamethasone. The most common adverse reactions (&gt;20%) on the panobinostat-containing arm were diarrhea, fatigue, nausea, peripheral edema, decreased appetite, pyrexia, and vomiting. Serious adverse reactions included pneumonia, diarrhea, thrombocytopenia, fatigue, and sepsis. There was an increased incidence in deaths not due to progressive disease (7% vs. 3.2%) on the panobinostat-containing arm.
The most common hematologic abnormalities included thrombocytopenia and neutropenia; the most common chemistry abnormalities were hypophosphatemia and hypokalemia. ECG changes, including new T-wave changes and ST-segment depressions, occurred in 64% of patients in the panobinostat-containing arm and 42% in the control arm. Arrhythmias occurred more frequently in patients receiving panobinostat compared to the control arm (12% vs. 5%).
Panobinostat is approved with a BOXED WARNING alerting patients and health care providers of severe and fatal cardiac toxicities and severe diarrhea. Hemorrhage and hepatotoxicity are other important safety concerns with panobinostat and are included in the WARNINGS and PRECAUTIONS section of the label.
 Recommended Treatment Regimen for Panobinostat
Treatment Phase 1: Cycles 1-8, 3 week cycles (Total time 24 weeks):
Panobinostat 20 mg orally once daily 3 times a week for 2 weeks per 3 week cycle
Bortezomib 1.3mg/m2 intravenously twice weekly for 2 weeks per 3 week cycle
Dexamethasone 20 mg orally per day of bortezomib and the day after each dose
Treatment Phase 2: Cycles 9-16, 3 week cycles (Total time 24 additional weeks):
Patients achieving clinical benefit (defined as a response category of ‘No Change’, PR, MR, nCR, or CR) without unresolved severe or medically significant toxicity may be considered for another 8 cycles of therapy at modified dosing.
Panobinostat 20 mg orally once daily 3 times a week for 2 weeks per 3 week cycle
Bortezomib 1.3mg/m2 intravenously once weekly for 2 weeks per 3 week cycle
Dexamethasone 20 mg orally per day of bortezomib and the day after each dose
Full prescribing information is available at: http://www.accessdata.fda.gov/drugsatfda_docs/label/2015/205353s000lbl.pdf
Healthcare professionals should report all serious adverse events suspected to be associated with the use of any medicine and device to FDA's MedWatch Reporting System by completing an online form at http://www.fda.gov/medwatch/report.htm, by faxing (1-800-FDA-0178) or mailing the postage-paid address form provided online, or by telephone (1-800-FDA-1088).
 </t>
  </si>
  <si>
    <t xml:space="preserve">study_ 190</t>
  </si>
  <si>
    <t xml:space="preserve">FDA granted accelerated approval to palbociclib (IBRANCE, Pfizer, Inc.) for use in combination with letrozole for the treatment of postmenopausal women with estrogen receptor (ER)-positive, human epidermal growth factor receptor 2 (HER2)-negative advanced breast cancer as initial endocrine-based therapy for their metastatic disease. More Information. February 3, 2015 </t>
  </si>
  <si>
    <t xml:space="preserve">https://wayback.archive-it.org/7993/20170111064250/http%3A//www.fda.gov/Drugs/InformationOnDrugs/ApprovedDrugs/ucm432886.htm</t>
  </si>
  <si>
    <t xml:space="preserve">Palbociclib
Share
Tweet
Linkedin
Pin it
More sharing options
Linkedin
Pin it
Email
Print
On February 3, 2015, the U. S. Food and Drug Administration granted accelerated approval to palbociclib (IBRANCE, Pfizer, Inc.) for use in combination with letrozole for the treatment of postmenopausal women with estrogen receptor (ER)-positive, human epidermal growth factor receptor 2 (HER2)-negative advanced breast cancer as initial endocrine-based therapy for their metastatic disease. 
Palbociclib is an inhibitor of cyclin-dependent kinase (CDK) 4 and 6. In vitro palbociclib reduced cellular proliferation of ER-positive breast cancer cell lines by blocking progression of cells from G1 into S phase of the cell cycle.
The approval of palbociclib is based on a randomized, multicenter, open-label trial in postmenopausal women with ER-positive, HER2-negative, advanced (locally advanced or metastatic) breast cancer who had not received previous systemic treatment for advanced disease. The trial enrolled 165 patients randomly allocated to receive either palbociclib (125 mg orally daily for 21 consecutive days, followed by 7 days off treatment) plus letrozole (2.5 mg daily continuously throughout the 28-day cycle) or letrozole alone.
Among the 165 patients, 43% had received chemotherapy and 33% had received anti-hormonal therapy as a neoadjuvant or adjuvant treatment. Forty- nine percent of patients had no prior systemic therapy in the neoadjuvant or adjuvant setting. The majority of patients (98%) had metastatic disease; 48% had visceral disease, 75% had bone disease and 19% had bone only disease.
The major efficacy outcome measure was investigator-assessed progression-free survival (PFS) evaluated according to Response Evaluation Criteria in Solid Tumors Version 1.0 (RECIST). Median investigator-assessed PFS was 20.2 months (95% CI 13.8, 27.5) in the palbociclib plus letrozole arm and 10.2 months (95% CI 5.7, 12.6) in the letrozole alone arm [Hazard Ratio (HR) 0.488 (95% CI 0.319, 0.748)]. The treatment effect of the combination on PFS was also supported by a retrospective radiographic independent review [HR 0.621 (95% CI: 0.378, 1.019).] Overall response rate in patients with measurable disease (investigator assessment) was higher in the palbociclib plus letrozole compared to the letrozole alone arm (55.4% versus 39.4%).
Most common adverse reactions (greater than or equal to 10%) were neutropenia, leukopenia, fatigue, anemia, upper respiratory infection, nausea, stomatitis, alopecia, diarrhea, thrombocytopenia, decreased appetite, vomiting, asthenia, peripheral neuropathy, and epistaxis. The most frequently reported serious adverse reactions in patients receiving palbociclib plus letrozole were pulmonary embolism (3 of 83; 4%) and diarrhea (2 of 83; 2%).
The recommended dose and schedule of palbociclib is 125 mg daily for 21 consecutive days followed by 7 days off treatment with letrozole 2.5 mg daily continuously throughout the 28-day cycle.
FDA granted palbociclib breakthrough therapy designation in April, 2013 based on preliminary evidence of clinical activity in this patient population. This accelerated approval is based on demonstration of an improvement in PFS. Continued approval for this indication may be contingent upon verification and description of clinical benefit in an on-going confirmatory trial.
Full prescribing information is available at: http://www.accessdata.fda.gov/drugsatfda_docs/label/2015/207103s000lbl.pdf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t>
  </si>
  <si>
    <t xml:space="preserve">study_ 191</t>
  </si>
  <si>
    <t xml:space="preserve">FDA approved ramucirumab (Cyramza Injection, Eli Lilly and Company) for use in combination with docetaxel for the treatment of patients with metastatic non-small cell lung cancer (NSCLC) with disease progression on or after platinum-based chemotherapy. More Information. December 12, 2014</t>
  </si>
  <si>
    <t xml:space="preserve">https://wayback.archive-it.org/7993/20170111064250/http%3A//www.fda.gov/Drugs/InformationOnDrugs/ApprovedDrugs/ucm426735.htm</t>
  </si>
  <si>
    <t xml:space="preserve">Ramucirumab (Cyramza)
Share
Tweet
Linkedin
Pin it
More sharing options
Linkedin
Pin it
Email
Print
On December 12, 2014, the U. S. Food and Drug Administration approved ramucirumab (Cyramza Injection, Eli Lilly and Company) for use in combination with docetaxel for the treatment of patients with metastatic non-small cell lung cancer (NSCLC) with disease progression on or after platinum-based chemotherapy. Patients with EGFR or ALK genomic tumor aberrations should have disease progression on FDA-approved therapy for these aberrations prior to receiving ramucirumab. Ramucirumab was previously approved as a single agent and for use in combination with paclitaxel for the treatment of patients with advanced gastric or gastroesophageal junction (GEJ) adenocarcinoma after disease progression on first line therapy.
The approval of ramucirumab in combination with docetaxel in NSCLC was based on the demonstration of improved overall survival (OS) in a multicenter, double-blind, placebo-controlled study (I4T-MC-JVBA) that enrolled 1253 patients with previously treated metastatic NSCLC. Patients were randomized to receive either ramucirumab (10 mg/kg every three weeks) in combination with docetaxel (75 mg/m2 every 3 weeks) on day 1 of a 21-day cycle (n=628) or matching placebo plus docetaxel (n=625).
A statistically significant prolongation of OS was demonstrated [HR 0.86; (95% CI: 0.75, 0.98); p=0.024]; median OS was 10.5 months in the ramucirumab plus docetaxel arm and 9.1 months in the placebo plus docetaxel arm. Progression-free survival was also significantly longer for patients receiving ramucirumab plus docetaxel [HR=0.76 (95% CI: 0.68, 0.86); p&lt;0.001)]. 
Safety data was evaluated in 1245 patients who received at least one dose of study drug. The most frequently reported adverse reactions with ramucirumab plus docetaxel (incidence greater than or equal to 30%) were neutropenia, fatigue/asthenia, and stomatitis/mucosal inflammation. The most common serious adverse reactions with ramucirumab plus docetaxel were febrile neutropenia (14%), pneumonia (6%), and neutropenia (5%).
The recommended dose and schedule for ramucirumab in combination with docetaxel for NSCLC is ramucirumab 10 mg/kg intravenously and docetaxel 75 mg/m2 intravenously administered every 3 weeks.
Full prescribing information is available at: http://www.accessdata.fda.gov/drugsatfda_docs/label/2014/125477s007lbl.pdf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t>
  </si>
  <si>
    <t xml:space="preserve">study_ 192</t>
  </si>
  <si>
    <t xml:space="preserve">NCT01168973</t>
  </si>
  <si>
    <t xml:space="preserve">I4T-MC-JVBA</t>
  </si>
  <si>
    <t xml:space="preserve">FDA approved bevacizumab solution for intravenous infusion (Avastin, Genentech, Inc.) in combination with paclitaxel, pegylated liposomal doxorubicin, or topotecan for the treatment of patients with platinum-resistant, recurrent epithelial ovarian, fallopian tube, or primary peritoneal cancer. More Information. November 14, 2014 </t>
  </si>
  <si>
    <t xml:space="preserve">https://wayback.archive-it.org/7993/20170111064250/http%3A//www.fda.gov/Drugs/InformationOnDrugs/ApprovedDrugs/ucm423159.htm</t>
  </si>
  <si>
    <t xml:space="preserve">Bevacizumab solution in combination with Paclitaxel
Share
Tweet
Linkedin
Pin it
More sharing options
Linkedin
Pin it
Email
Print
On November 14, 2014, the U. S. Food and Drug Administration approved bevacizumab solution for intravenous infusion (Avastin, Genentech, Inc.) in combination with paclitaxel, pegylated liposomal doxorubicin, or topotecan for the treatment of patients with platinum-resistant, recurrent epithelial ovarian, fallopian tube, or primary peritoneal cancer. 
The approval is based on the results of an international, randomized, two-arm trial (AURELIA) with the primary comparison of investigator-assessed progression-free survival (PFS). This trial compared bevacizumab plus chemotherapy versus chemotherapy alone. The trial enrolled 361 patients: 179 patients were assigned to receive bevacizumab plus chemotherapy, and 182 patients were assigned to receive chemotherapy alone. The chemotherapy included paclitaxel, pegylated liposomal doxorubicin, or topotecan. 
Treatment continued until disease progression, unacceptable toxicity, and/or consent withdrawal. All enrolled patients had received no more than two prior chemotherapy regimens, had ECOG performance status of 0 to 2 and had recurred within less than six months from the most recent platinum‑based therapy.
The PFS assessment demonstrated a statistically significant improvement in patients who received bevacizumab plus chemotherapy compared to those who received chemotherapy alone (HR=0.38; 95% CI: 0.30, 0.49; p&lt;0.0001, stratified log-rank test). The median PFS of patients who received bevacizumab plus chemotherapy was 6.8 months (95% CI: 5.6, 7.8) compared to 3.4 months (95% CI: 2.1, 3.8) for those receiving chemotherapy alone. There was no significant difference in overall survival (OS) (median OS: 16.6 vs. 13.3 months; HR 0.89; 95% CI: 0.69, 1.14).
The trial was stratified by chemotherapy regimen. Exploratory analyses were performed by comparing the addition of bevacizumab to each chemotherapy regimen. The addition of bevacizumab to paclitaxel provided the largest improvement, resulting in a 5.7 month improvement in median PFS (9.6 versus 3.9 months; HR 0.47; 95% CI: 0.31, 0.72), an improvement in the overall response rate of 23% (53% versus 30%), and a 9.2 month improvement in median OS (22.4 versus 13.2 months, HR 0.64; 95% CI: 0.41, 1.01). Ninety-seven per cent of patients in the paclitaxel regimen had received paclitaxel with previous chemotherapy regimens. These exploratory analyses suggest that patients who have received prior treatment with paclitaxel may benefit from bevacizumab plus weekly paclitaxel.
The most common adverse reactions (greater than or equal to 15%) in patients treated with bevacizumab plus chemotherapy were neutropenia, peripheral sensory neuropathy and hypertension. Gastrointestinal perforations were reported in 1.7% of bevacizumab-treated patients. Patients who had evidence of rectosigmoid involvement by pelvic examination or bowel involvement on CT scan or clinical symptoms of bowel obstruction were excluded from this trial. These exclusions may have contributed to the relatively low rate of perforation compared to reports from one earlier investigation of bevacizumab in platinum-resistant ovarian cancer. Fistulae occurred in 2% of bevacizumab‑treated patients and no patients receiving chemotherapy alone.
The recommended bevacizumab dose is 10 mg/kg every 2 weeks in combination with one of the following intravenous chemotherapy regimens: paclitaxel, pegylated liposomal doxorubicin, or weekly topotecan. Bevacizumab, 15 mg/kg every 3 weeks, may be combined with topotecan (every three weeks). The chemotherapy regimens follow below.
Paclitaxel 80 mg/m2 on days 1, 8, 15 and 22 every 4 weeks
Pegylated liposomal doxorubicin 40 mg/m2 on day 1 every 4 weeks or
Topotecan 4 mg/m2 on days 1, 8 and 15 every 4 weeks or 1.25 m/m2 on days 1-5 every 3 weeks
Full prescribing information, including clinical trial information, safety, dosing, drug-drug interactions and contraindications is available at: AVASTIN (PDF - 1MB)
Healthcare professionals should report all serious adverse events suspected to be associated with the use of any medicine and device to FDA’s MedWatch Reporting System by completing a form online at MedWatch Online Voluntary Reporting Form, by faxing (1-800-FDA-0178) or mailing the postage-paid address form provided online, or by telephone (1-800-FDA-1088).
 </t>
  </si>
  <si>
    <t xml:space="preserve">study_ 193</t>
  </si>
  <si>
    <t xml:space="preserve">NCT00976911</t>
  </si>
  <si>
    <t xml:space="preserve">AURELIA</t>
  </si>
  <si>
    <t xml:space="preserve">FDA approved ramucirumab (Cyramza, Eli Lilly and Company) for use in combination with paclitaxel for the treatment of patients with advanced gastric or gastroesophageal junction (GEJ) adenocarcinoma. Ramucirumab was approved in April, 2014 as a single agent for the treatment of patients with advanced gastric or GEJ adenocarcinoma refractory to or progressive following first-line therapy with platinum or fluoropyrimidine chemotherapy. More Information. November 5, 2014</t>
  </si>
  <si>
    <t xml:space="preserve">https://wayback.archive-it.org/7993/20170111064250/http%3A//www.fda.gov/Drugs/InformationOnDrugs/ApprovedDrugs/ucm421930.htm</t>
  </si>
  <si>
    <t xml:space="preserve">Ramucirumab in combination with paclitaxel
Share
Tweet
Linkedin
Pin it
More sharing options
Linkedin
Pin it
Email
Print
On November 5, 2014, the U. S. Food and Drug Administration approved ramucirumab (Cyramza, Eli Lilly and Company) for use in combination with paclitaxel for the treatment of patients with advanced gastric or gastroesophageal junction (GEJ) adenocarcinoma. Ramucirumab was approved in April, 2014 as a single agent for the treatment of patients with advanced gastric or GEJ adenocarcinoma refractory to or progressive following first-line therapy with platinum or fluoropyrimidine chemotherapy. 
The approval of ramucirumab in combination with paclitaxel was based on the demonstration of improved overall survival (OS) in a multicenter, double-blind, placebo-controlled study (I4T-IE-JVBE) that enrolled 665 patients with previously-treated advanced or metastatic gastric or GEJ adenocarcinoma. Patients were randomized to receive either ramucirumab (8 mg/kg every two weeks) in combination with paclitaxel (80 mg/m2 once a week for 3 weeks of every 28-day cycle) (n=330) or matching placebo plus paclitaxel (n=335).
A statistically significant prolongation of OS was demonstrated [HR 0.81; (95% CI: 0.68, 0.96); p=0.017]; median OS was 9.6 and 7.4 months in the ramucirumab plus paclitaxel arm and placebo plus paclitaxel arm, respectively. Progression-free survival was also significantly longer for patients receiving ramucirumab plus paclitaxel [HR=0.64 (95% CI: 0.54, 0.75); p&lt;0.001)] 
Safety data was evaluated in 656 patients who received at least one dose of study drug. The most frequently reported adverse reactions with ramucirumab plus paclitaxel (incidence greater than or equal to 30%) were fatigue/asthenia, neutropenia, diarrhea, and epistaxis. The most common serious adverse reactions with ramucirumab plus paclitaxel were neutropenia and febrile neutropenia (3.7% and 2.4%, respectively).
The recommended dose and schedule for ramucirumab in combination with paclitaxel for advanced gastric or GEJ adenocarcinoma is ramucirumab 8 mg/kg intravenously administered every 2 weeks and paclitaxel 80 mg/m2 intravenously once a week for 3 weeks of every 28-day cycle. Treatment should continue until disease progression or unacceptable toxicity.
Full prescribing information is available at: CYRAMZA (PDF - 362KB). 
Healthcare professionals should report all serious adverse events suspected to be associated with the use of any medicine and device to FDA’s MedWatch Reporting System by completing a form online at FDA’s MedWatch Reporting System, by faxing (1-800-FDA-0178) or mailing the postage-paid address form provided online, or by telephone (1-800-FDA-1088).</t>
  </si>
  <si>
    <t xml:space="preserve">study_ 194</t>
  </si>
  <si>
    <t xml:space="preserve">NCT01170663</t>
  </si>
  <si>
    <t xml:space="preserve">I4T-IE-JVBE</t>
  </si>
  <si>
    <t xml:space="preserve">FDA approved bevacizumab solution for intravenous infusion (Avastin, Genentech, Inc.) for the treatment of persistent, recurrent or metastatic cervical cancer, in combination with paclitaxel and cisplatin or paclitaxel and topotecan. More Information. August 14, 2014</t>
  </si>
  <si>
    <t xml:space="preserve">https://wayback.archive-it.org/7993/20170111064250/http%3A//www.fda.gov/Drugs/InformationOnDrugs/ApprovedDrugs/ucm410128.htm</t>
  </si>
  <si>
    <t xml:space="preserve">Bevacizumab solution
Share
Tweet
Linkedin
Pin it
More sharing options
Linkedin
Pin it
Email
Print
 On August 14, 2014, the U. S. Food and Drug Administration approved bevacizumab solution for intravenous infusion (Avastin, Genentech, Inc.) for the treatment of persistent, recurrent or metastatic cervical cancer, in combination with paclitaxel and cisplatin or paclitaxel and topotecan. 
The approval is based on the results of an international, randomized, four-arm, two-by-two factorial design trial with two primary comparisons of overall survival (OS). The first comparison was between bevacizumab plus chemotherapy versus chemotherapy alone. The second comparison of OS was between the platinum doublet versus the non-platinum doublet chemotherapy irrespective of addition of bevacizumab.
The trial enrolled 452 patients: 227 patients were assigned to receive chemotherapy and bevacizumab, and 225 patients were assigned to receive chemotherapy alone. The chemotherapy could be either paclitaxel in combination with cisplatin or paclitaxel in combination with topotecan.
Treatment continued until disease progression, unacceptable toxicity, and/or consent withdrawal. All enrolled patients had GOG performance status of 0 or 1, 80% had received prior radiation and 74% had received prior chemotherapy concurrent with radiation.
The key efficacy assessment in the first primary comparison of OS demonstrated a statistically significant improvement in patients who received bevacizumab and chemotherapy compared to those who received chemotherapy alone (HR=0.74; 95% CI: 0.58, 0.94; p= 0.013, log-rank test). The median survival of patients who received bevacizumab and chemotherapy was 16.8 months (95% CI: 14.1, 19) compared to 12.9 months (95% CI: 10.9, 15) for those receiving chemotherapy alone. 
For the second primary comparison of OS, the paclitaxel plus topotecan with or without bevacizumab arms did not demonstrate an improvement in OS compared to the paclitaxel plus cisplatin with or without bevacizumab arms [HR 1.15 (95% CI: 0.91, 1.46)]. However, the HRs for addition of bevacizumab to either chemotherapy regimen were similar (HR 0.72 for paclitaxel/cisplatin and HR 0.76 for paclitaxel/topotecan). The results suggest that the regimen of paclitaxel with topotecan plus bevacizumab is an acceptable alternative for women with advanced cervical cancer who are not candidates for platinum treatment.
The most common adverse reactions (greater than or equal to 20%) in patients treated with bevacizumab and chemotherapy were fatigue, decreased appetite, hypertension, hyperglycemia, hypomagnesemia, urinary tract infection, headache and decreased weight. Gastrointestinal perforations were reported in 3.2% of bevacizumab-treated patients, all of whom had prior pelvic radiation. Gastrointestinal‑vaginal fistulae occurred in 8.2% of bevacizumab‑treated patients and 0.9% in control patients, all of whom also had prior pelvic radiation. In addition to gastrointestinal perforation and fistulae, several other grade 3 or greater adverse reactions were also more common in patients receiving chemotherapy plus bevacizumab, including venous thromboembolic events, hemorrhage, hypertension, proteinuria, and wound healing complications. 
The recommended dose of Avastin is 15 mg/kg every three weeks as an intravenous infusion administered in combination with one of the following chemotherapy regimens: paclitaxel and cisplatin, or paclitaxel and topotecan. The dosing regimens used in the clinical trial were as follows and repeated every 21 days:
Day 1: paclitaxel 135 mg/m2 IV over 24 hours, Day 2: cisplatin 50 mg/m2 IV plus bevacizumab;
 or Day 1: paclitaxel 175 mg/m2 IV over 3 hours, Day 2: cisplatin 50 mg/m2 IV plus bevacizumab;
 or Day 1: paclitaxel 175 mg/m2 IV over 3 hours plus cisplatin 50 mg/m2 IV plus bevacizumab
Day 1: paclitaxel 175 mg/m2 over 3 hours plus bevacizumab, Days 1-3: topotecan 0.75 mg/m2 over 30 minutes.
Full prescribing information, including clinical trial information, safety, dosing, drug-drug interactions and contraindications is available at:
http://www.accessdata.fda.gov/drugsatfda_docs/label/2014/125085s301lbl.pdf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t>
  </si>
  <si>
    <t xml:space="preserve">study_ 195</t>
  </si>
  <si>
    <t xml:space="preserve">FDA approved idelalisib (Zydelig tablets, GileadSciences, Inc.) for the treatment of patients with relapsed chronic lymphocytic leukemia (CLL), in combination with rituximab, for whom rituximab alone would be considered appropriate therapy due to other co-morbidities. More Information. July 23, 2014</t>
  </si>
  <si>
    <t xml:space="preserve">https://wayback.archive-it.org/7993/20170111064250/http%3A//www.fda.gov/Drugs/InformationOnDrugs/ApprovedDrugs/ucm406410.htm</t>
  </si>
  <si>
    <t xml:space="preserve">Idelalisib
Share
Tweet
Linkedin
Pin it
More sharing options
Linkedin
Pin it
Email
Print
On July 23, 2014, the U.S. Food and Drug Administration (FDA) approved idelalisib (Zydelig tablets, GileadSciences, Inc.) for the treatment of patients with relapsed chronic lymphocytic leukemia (CLL), in combination with rituximab, for whom rituximab alone would be considered appropriate therapy due to other co-morbidities.
FDA also granted accelerated approval to idelalisib for the treatment of patients with relapsed follicular B-cell non-Hodgkin lymphoma (FL) or relapsed small lymphocytic lymphoma (SLL) who have received at least two prior systemic therapies.
The approval for CLL was based on the results of an international, multi-center, randomized (1:1), placebo-controlled trial of 220 patients comparing idelalisib 150 mg twice daily in combination with rituximab to placebo in combination with rituximab. Rituximab was administered in 8 doses (first dose at 375 mg/m2, subsequent doses at 500 mg/m2) every 2 weeks for 4 infusions, then every 4 weeks for 4 infusions.
Progression-free survival (PFS) assessed by blinded independent review committee (IRC) was the primary efficacy endpoint. The trial was stopped early based on an interim analysis; median duration of exposure to idelalisib was 5.0 months. Median PFS was not reached (95% CI 10.7, NR) in the idelalisib plus rituximab arm and was 5.5 months (95% CI 3.8, 7.1) in the placebo plus rituximab arm [HR 0.18 (95% CI: 0.10, 0.32); p &lt; 0.0001].
Accelerated approval for FL and SLL was based on the results of a multi-center, single arm, open-label trial enrolling 123 patients with relapsed indolent non-Hodgkin lymphomas who were started on idelalisib 150 mg twice daily. The primary efficacy endpoint was overall response rate (ORR) as assessed by an IRC. In patients with FL, the ORR was 54% (95% CI: 42, 66), and the median response duration was not evaluable. In patients with SLL, the ORR was 58% (95% CI: 37, 77), and the median response duration was 11.9 months.
Idelalisib is being approved with a Boxed Warning alerting patients and healthcare professionals of the following fatal and serious adverse reactions: hepatotoxicity, severe diarrhea or colitis, pneumonitis, and intestinal perforation. The most common adverse reactions (incidence greater than or equal to 20%) are diarrhea, pyrexia, fatigue, nausea, cough, pneumonia, abdominal pain, chills, and rash. The most common lab abnormalities (incidence greater than or equal to 30%) are neutropenia, hypertriglyceridemia, hyperglycemia, ALT elevations, and AST elevations.
The recommended dose and schedule for idelalisib is 150 mg orally twice daily for patients with FL and SLL and in combination with rituximab for patients with CLL.
Full prescribing information, including clinical trial information, safety, dosing, drug-drug interactions and contraindications is available at: http://www.accessdata.fda.gov/drugsatfda_docs/label/2014/206545lbl.pdf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t>
  </si>
  <si>
    <t xml:space="preserve">study_ 196</t>
  </si>
  <si>
    <t xml:space="preserve">FDA approved ofatumumab (Arzerra Injection, for intravenous infusion; GlaxoSmithKline) in combination with chlorambucil, for the treatment of previously untreated patients with chronic lymphocytic leukemia (CLL), for whom fludarabine-based therapy is considered inappropriate. More Information. April 17, 2014</t>
  </si>
  <si>
    <t xml:space="preserve">https://wayback.archive-it.org/7993/20170111064250/http%3A//www.fda.gov/Drugs/InformationOnDrugs/ApprovedDrugs/ucm393823.htm</t>
  </si>
  <si>
    <t xml:space="preserve">FDA Approves Ofatumumab
Share
Tweet
Linkedin
Pin it
More sharing options
Linkedin
Pin it
Email
Print
On April 17, 2014, the U. S. Food and Drug Administration approved ofatumumab (Arzerra Injection, for intravenous infusion; GlaxoSmithKline) in combination with chlorambucil, for the treatment of previously untreated patients with chronic lymphocytic leukemia (CLL), for whom fludarabine-based therapy is considered inappropriate. 
The approval was based on the results of a multi-center, randomized, open-label trial comparing ofatumumab in combination with chlorambucil to single agent chlorambucil. The trial enrolled 447 patients for whom fludarabine-based therapy was considered to be inappropriate by the investigator for reasons that included advanced age or presence of co-morbidities. In the overall trial population the median age was 69 years (range: 35 to 92 years). Seventy-two percent of patients had two or more co-morbidities and 48% of patients had a creatinine clearance of &lt;70 mL/min. Patients received ofatumumab as an intravenous infusion according to the following schedule: 300 mg administered on cycle 1 day 1, 1000 mg administered on cycle 1 day 8 and 1000 mg administered on day 1 of all subsequent 28 day cycles. In both arms, chlorambucil was given at a dose of 10 mg/m2 orally on days 1 to 7 every 28 days. Prior to each infusion of ofatumumab, patients received pre-medication with acetaminophen, an antihistamine, and a glucocorticoid. 
The primary endpoint of the trial was progression free survival (PFS) as assessed by a blinded Independent Review Committee (IRC) using the 2008 International Workshop on Chronic Lymphocytic Leukemia (IWCLL) update of the National Cancer Institute Working Group (NCI-WG) guidelines. Median PFS was 22.4 months (95% CI: 19.0, 25.2 months) for patients receiving Arzerra in combination with chlorambucil compared to 13.1 months (95% CI: 10.6, 13.8 months) for patients receiving single-agent chlorambucil [hazard ratio 0.57 (95% CI: 0.45, 0.72), stratified log-rank p-value &lt;0.001].
The most common adverse reactions (greater than or equal to 5%) with ofatumumab in combination with chlorambucil (greater than or equal to 2% more than in the control arm) were infusion reactions, neutropenia, asthenia, headache, leukopenia, herpes simplex, lower respiratory tract infection, arthralgia and upper abdominal pain. Overall, 67% of patients who received ofatumumab experienced one or more symptoms of infusion reaction. Ten percent of patients experienced a grade 3 or greater infusion reaction. 
The results of this randomized trial were adequate to fulfill the postmarketing requirement for GlaxoSmithKline to verify the clinical benefit of ofatumumab and, therefore, the approval of ofatumumab was converted from accelerated approval to regular approval.
The recommended dose and schedule for the approved regimen for ofatumumab in previously untreated CLL is:
 300 mg on Day 1 followed 1 week later by 1,000 mg on Day 8 (Cycle 1) followed by
 1,000 mg on Day 1 of subsequent 28 day cycles for a minimum of 3 cycles until best response or a maximum of 12 cycles. 
Full prescribing information is available at: http://www.accessdata.fda.gov/drugsatfda_docs/label/2014/125326s060lbl.pdf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t>
  </si>
  <si>
    <t xml:space="preserve">study_ 197</t>
  </si>
  <si>
    <t xml:space="preserve">FDA granted accelerated approval to trametinib (Mekinist tablets, GlaxoSmithKline, LLC) and dabrafenib (Tafinlar capsules, GlaxoSmithKline, LLC) for use in combination in the treatment of patients with unresectable or metastatic melanoma with a BRAF V600E or V600K mutation as detected by an FDA-approved test. More Information. January 10, 2014</t>
  </si>
  <si>
    <t xml:space="preserve">https://wayback.archive-it.org/7993/20170111064250/http%3A//www.fda.gov/Drugs/InformationOnDrugs/ApprovedDrugs/ucm381451.htm</t>
  </si>
  <si>
    <t xml:space="preserve">Study not available in clinicaltrials.gov</t>
  </si>
  <si>
    <t xml:space="preserve">Trametinib and Dabrafenib
Share
Tweet
Linkedin
Pin it
More sharing options
Linkedin
Pin it
Email
Print
The U. S. Food and Drug Administration granted accelerated approval to trametinib (Mekinist tablets, GlaxoSmithKline, LLC) and dabrafenib (Tafinlar capsules, GlaxoSmithKline, LLC) for use in combination in the treatment of patients with unresectable or metastatic melanoma with a BRAF V600E or V600K mutation as detected by an FDA-approved test. 
Trametinib was previously approved in 2013 as a single agent for treatment of BRAF V600E or V600K mutation-positive unresectable or metastatic melanoma. Dabrafenib was also approved in 2013 as a single agent for treatment of BRAF V600E mutation-positive unresectable or metastatic melanoma. Trametinib and dabrafenib target two different kinases in the RAS/RAF/MEK/ERK pathway.
Approval of the combination therapy was based on the demonstration of durable objective responses in a multicenter, open-label, randomized (1:1:1), active-controlled, dose-ranging trial enrolling 162 patients with histologically confirmed Stage IIIC or IV melanoma determined to be BRAF V600E or V600K. No more than one prior chemotherapy regimen and/or interleukin-2 were permitted. Patients with prior exposure to BRAF inhibitors or MEK inhibitors were ineligible.
Patients were randomized to receive trametinib 2 mg orally once daily in combination with dabrafenib 150 mg orally twice daily (n=54), trametinib 1 mg orally once daily in combination with dabrafenib 150 mg orally twice daily (n=54), or single-agent dabrafenib 150 mg orally twice daily (n=54). Of the 162 patients enrolled, 57% were male, the median age was 53 years, all had baseline ECOG PS of 0 or 1, 67% had M1c disease, and 81% had not received prior anticancer therapy for unresectable or metastatic disease. All patients had tumor tissue with mutations in BRAF V600E (85%) or V600K (15%) on local or centralized testing.
The investigator-assessed objective response rates and response duration were 76% (95% CI: 62, 87) and 10.5 months (95% CI: 7, 15), respectively, in the trametinib 2 mg plus dabrafenib combination arm and 54% (95% CI: 40, 67) and 5.6 months (95% CI: 5, 7), respectively, in the single-agent dabrafenib arm. Objective response rates were similar in subgroups defined by BRAF V600 mutation subtype, V600E and V600K. Analyses of objective response rates based on blinded independent central review were consistent with the investigator results.
The incidence of cutaneous squamous cell carcinoma (including squamous cell carcinomas of the skin and keratoacanthomas), the trial’s primary safety endpoint, was 7% (95% CI: 2, 18) in the trametinib 2 mg plus dabrafenib combination arm compared to 19% (95% CI: 9, 32) in the single-agent dabrafenib arm.
The most frequent (greater than or equal to 20% incidence) adverse reactions from trametinib in combination with dabrafenib were pyrexia, chills, fatigue, rash, nausea, vomiting, diarrhea, abdominal pain, peripheral edema, cough, headache, arthralgia, night sweats, decreased appetite, constipation, and myalgia. The most frequent grades 3 and 4 adverse events (greater than or equal to 5% incidence) were acute renal failure, pyrexia, hemorrhage, and back pain.
Serious adverse drug reactions occurring in patients taking trametinib in combination with dabrafenib were hemorrhage, venous thromboembolism, new primary malignancy, serious febrile reactions, cardiomyopathy, serious skin toxicity, and eye disorders such as retinal pigmented epithelial detachments.
Granting of this accelerated approval is contingent upon the successful completion of the ongoing MEK115306 trial to verify the clinical benefit of trametinib for use in combination with dabrafenib. MEK115306 is an international, multicenter, randomized (1:1), double-blind, placebo-controlled trial comparing the combination of dabrafenib and trametinib to dabrafenib and placebo as first-line therapy in approximately 340 patients with unresectable (Stage IIIC) or metastatic (Stage IV) BRAF V600E or V600K mutation-positive cutaneous melanoma. The primary endpoint is progression-free survival. Overall survival is a key secondary endpoint.
The recommended dose and schedule for trametinib and dabrafenib when used in combination is trametinib 2 mg orally once daily with dabrafenib 150 mg orally twice daily continued until disease progression or unacceptable toxicity occurs. Trametinib and dabrafenib should be taken at least one hour before or two hours after a meal. The once daily dose of trametinib can be taken at the same time as either dose of dabrafenib.
Full prescribing information is available at: 
http://www.accessdata.fda.gov/drugsatfda_docs/label/2014/204114s001lbl.pdf
http://www.accessdata.fda.gov/drugsatfda_docs/label/2014/202806s002lbl.pdf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t>
  </si>
  <si>
    <t xml:space="preserve">study_ 198</t>
  </si>
  <si>
    <t xml:space="preserve">MEK115306</t>
  </si>
  <si>
    <t xml:space="preserve">FDA approved obinutuzumab (GAZYVA injection, for intravenous use, Genentech, Inc.; previously known as GA101) for use in combination with chlorambucil for the treatment of patients with previously untreated chronic lymphocytic leukemia (CLL). More Information. November 1, 2013</t>
  </si>
  <si>
    <t xml:space="preserve">https://wayback.archive-it.org/7993/20170111064250/http%3A//www.fda.gov/Drugs/InformationOnDrugs/ApprovedDrugs/ucm373263.htm</t>
  </si>
  <si>
    <t xml:space="preserve">Gazyva (obinutuzumab)
Share
Tweet
Linkedin
Pin it
More sharing options
Linkedin
Pin it
Email
Print
On November 1, 2013, the U.S. Food and Drug Administration approved obinutuzumab (GAZYVA™ injection, for intravenous use, Genentech, Inc.; previously known as GA101) for use in combination with chlorambucil for the treatment of patients with previously untreated chronic lymphocytic leukemia (CLL).
The approval was based on demonstration of an improvement in progression-free survival (PFS) in a randomized, open-label, multicenter trial comparing obinutuzumab in combination with chlorambucil (GClb) to chlorambucil (Clb) alone in patients with previously untreated CD20-positive CLL. The study also included a rituximab in combination with chlorambucil (RClb) arm. The results of RClb compared to GClb will be available at a later stage.
Patients randomized to the combination arm received 1000 mg doses of obinutuzumab intravenously on day 1 (later divided into 100 mg on day 1, followed by 900 mg on day 2), day 8 and day 15 of the first cycle. Chlorambucil, 0.5 mg/kg, was administered on days 1 and 15. During treatment cycles 2-6, patients received obinutuzumab, 1000 mg intravenously only on day 1 in combination with chlorambucil, 0.5 mg/kg, on days 1 and 15. Patients received pre-medication with a glucocorticoid, acetaminophen and anti-histamine prior to initial obinutuzumab infusions, and subsequently as needed. Patients assigned to single-agent chlorambucil received 0.5 mg/kg on days 1 and 15 of all treatment cycles (cycles 1 to 6). Cycles were repeated every 28 days.
A total of 356 patients were randomized (2:1) to GClb (n=238) and Clb (n=118). The median age was 73 years (range 39 -88). The independent review committee assessed median PFS was 23.0 and 11.1 months in the GClb and Clb arms, respectively [HR 0.16 (95% CI: 0.11, 0.24), log-rank p-value &lt;0.0001]. 
The most common adverse reactions (greater than or equal to 10%) with obinutuzumab in combination with chlorambucil (with a higher frequency than in the control arm) were infusion-related reactions, neutropenia, thrombocytopenia, anemia, pyrexia, cough, and musculoskeletal disorder. The most common grade 3-4 adverse reactions (greater than or equal to 10%) were infusion-related reactions, neutropenia, and thrombocytopenia.
Infusion reactions occurred in 69% of patients receiving obinutuzumab; 21% experienced Grade 3 or 4 reactions. Symptoms (greater than 10%) included dyspnea, hypotension, nausea, vomiting, chills, flushing, and pyrexia. 
Obinutuzumab is approved with a BOXED WARNING regarding Hepatitis B virus reactivation and Progressive Multifocal Leukoencephalopathy. Patients should be advised of these risks and assessed for Hepatitis B virus and reactivation risk. Infusion reactions are included in the WARNING and PRECAUTIONS section of the label.
The recommended dose and schedule for the approved regimen is:
Obinutuzumab:
Cycle 1: 100 mg intravenously on day 1, 900 mg on day 2, and 1000 mg on days 8 and 15. 
Cycles 2-6: 1000 mg administered intravenously every 28 days
Chlorambucil:
0.5 mg/kg orally on days 1 and 15 of each cycle
Full prescribing information is available at: 
http://www.accessdata.fda.gov/drugsatfda_docs/label/2013/125486s000lbl.pdf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t>
  </si>
  <si>
    <t xml:space="preserve">study_ 199</t>
  </si>
  <si>
    <t xml:space="preserve">GCLB; RCLB</t>
  </si>
  <si>
    <t xml:space="preserve">GCLB;RCLB</t>
  </si>
  <si>
    <t xml:space="preserve">FDA granted accelerated approval to pertuzumab injection (PERJETA, Genentech, Inc.) for use in combination with trastuzumab and docetaxel for the neoadjuvant treatment of patients with HER2-positive, locally advanced, inflammatory, or early stage breast cancer (either greater than 2 cm in diameter or node positive) as part of a complete treatment regimen for early breast cancer. More Information. September 30, 2013</t>
  </si>
  <si>
    <t xml:space="preserve">https://wayback.archive-it.org/7993/20170111064250/http%3A//www.fda.gov/Drugs/InformationOnDrugs/ApprovedDrugs/ucm370449.htm</t>
  </si>
  <si>
    <t xml:space="preserve">Pertuzumab Injection
Share
Tweet
Linkedin
Pin it
More sharing options
Linkedin
Pin it
Email
Print
On September 30, 2013, the U. S. Food and Drug Administration granted accelerated approval to pertuzumab injection (PERJETA, Genentech, Inc.) for use in combination with trastuzumab and docetaxel for the neoadjuvant treatment of patients with HER2-positive, locally advanced, inflammatory, or early stage breast cancer (either greater than 2 cm in diameter or node positive) as part of a complete treatment regimen for early breast cancer. 
The approval of PERJETA for neoadjuvant treatment of breast cancer is based on a randomized, multicenter, open-label trial in patients with HER2-positive, operable, locally advanced, or inflammatory breast cancer (T2-4d). Breast tumor samples were required to show HER2 overexpression (IHC 3+ or FISH amplification ratio ≥ 2.0 determined by a central laboratory). The trial enrolled 417 patients who were randomly allocated to receive 1 of 4 neoadjuvant regimens prior to surgery as follows: trastuzumab plus docetaxel; pertuzumab plus trastuzumab and docetaxel; pertuzumab plus trastuzumab; or pertuzumab plus docetaxel.
Pertuzumab, trastuzumab, and docetaxel were administered preoperatively by intravenous infusion (IV) every 3 weeks for a total of 4 cycles. Following surgery all patients received 3 cycles of fluorouracil, epirubicin, and cyclophosphamide (FEC) IV every 3 weeks and trastuzumab was administered IV every 3 weeks to complete 1 year of therapy. The trial’s primary endpoint was pathological complete response (pCR) rate defined as the absence of invasive cancer in the breast (ypT0/is). The FDA-preferred definition of pCR is the absence of invasive cancer in the breast and lymph nodes (ypT0/is ypN0).
Demographics were well balanced. Seven percent of patients had inflammatory breast cancer, 32% had locally advanced cancer and 70% had clinically node-positive breast cancer. Forty-seven percent of the patients had hormone receptor-positive disease.
The pCR (ypT0/is ypN0) rates were 39.3% and 21.5% in the pertuzumab plus trastuzumab and docetaxel and the trastuzumab plus docetaxel arms, respectively. This difference of 17.8% was statistically significant (adjusted p-value = 0.0063, Cochran-Mantel-Haenszel test). The pCR rates and magnitude of improvement with the addition of pertuzumab were lower in the subgroup of patients with hormone receptor-positive tumors compared to patients with hormone receptor-negative tumors.
The most common adverse reactions (&gt; 30%) with pertuzumab in combination with trastuzumab and docetaxel were alopecia, diarrhea, nausea and neutropenia. The most common (&gt; 2%) NCI – CTCAE (version 3) grade 3 – 4 adverse reactions were neutropenia, febrile neutropenia, leukopenia and diarrhea. Other significant adverse reactions reported with pertuzumab include left ventricular dysfunction, infusion-related reactions, hypersensitivity reactions, and anaphylaxis. 
The approval is supported by an additional randomized phase 2 study conducted in 225 patients with HER2-positive, locally advanced, operable, or inflammatory (T2-4d) breast cancer designed primarily to assess cardiac safety when FEC or carboplatin is incorporated into the preoperative regimen.
Pertuzumab is approved with a BOXED WARNING regarding cardiomyopathy and embryo-fetal toxicity. The cardiomyopathy warning is based on an increased rate of LVEF decline observed in the neoadjuvant trials. Cardiac function should be evaluated prior to and during treatment with pertuzumab. The embryo-fetal toxicity warning is based on observations of oligohydramnios, delayed renal development and embryo-fetal death in animal studies. Patients should be advised of these risks and need for effective contraception prior to starting pertuzumab. 
The recommended dose and schedule of pertuzumab is an initial dose of 840 mg administered IV as a 60‑minute infusion followed every 3 weeks by 420 mg administered IV as a 30- to 60-minute infusion. Pertuzumab should be administered every 3 weeks for 3 to 6 cycles as part of one of the following treatment regimens for early breast cancer:
Four preoperative cycles of pertuzumab in combination with trastuzumab and docetaxel followed by 3 postoperative cycles of FEC;
Three preoperative cycles of FEC alone followed by 3 preoperative cycles of pertuzumab in combination with docetaxel and trastuzumab; or
Six preoperative cycles of pertuzumab in combination with docetaxel, carboplatin and trastuzumab (TCH).
Following surgery, patients should continue to receive trastuzumab to complete 1 year of treatment. There is insufficient evidence to recommend continued use of pertuzumab for greater than 6 cycles for early breast cancer. There is insufficient evidence to recommend concomitant administration of an anthracycline with pertuzumab, and there are no safety data to support sequential use of doxorubicin with pertuzumab.
Pertuzumab, originally approved in June 2012, is a recombinant humanized monoclonal antibody that targets the extracellular dimerization domain (Subdomain II) of HER2, and thereby blocks ligand-dependent heterodimerization of HER2 with other HER family members, including EGFR, HER3 and HER4. 
This accelerated approval is based on demonstration of an improvement in pCR rate. No data are available demonstrating improvement in event-free survival or overall survival. Continued approval for this indication is contingent upon demonstration of improvement in disease-free survival in the confirmatory trial.
Full prescribing information is available at: http://www.accessdata.fda.gov/drugsatfda_docs/label/2013/125409s051lbl.pdf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t>
  </si>
  <si>
    <t xml:space="preserve">study_ 200</t>
  </si>
  <si>
    <t xml:space="preserve">FDA approved paclitaxel protein-bound particles (albumin-bound) (Abraxane for injectable suspension, Abraxis BioScience, LLC, a wholly owned subsidiary of Celgene Corporation), in combination with gemcitabine for the first-line treatment of patients with metastatic adenocarcinoma of the pancreas. More Information. September 6, 2013</t>
  </si>
  <si>
    <t xml:space="preserve">https://wayback.archive-it.org/7993/20170111064250/http%3A//www.fda.gov/Drugs/InformationOnDrugs/ApprovedDrugs/ucm367613.htm</t>
  </si>
  <si>
    <t xml:space="preserve">Paclitaxel
Share
Tweet
Linkedin
Pin it
More sharing options
Linkedin
Pin it
Email
Print
On September 6, 2013, the U. S. Food and Drug Administration approved paclitaxel protein-bound particles (albumin-bound) (Abraxane for injectable suspension, Abraxis BioScience, LLC, a wholly owned subsidiary of Celgene Corporation), in combination with gemcitabine for the first-line treatment of patients with metastatic adenocarcinoma of the pancreas.
The approval of Abraxane for this indication was based on the demonstration of improved overall survival (OS) in a multi-center, international, open-label, randomized trial enrolling 861 patients with metastatic pancreatic cancer. Patients were randomized to receive either the combination of Abraxane plus gemcitabine (n=431) or gemcitabine alone (n=430). Randomization was stratified by geographic region (Australia, Western Europe, Eastern Europe, or North America), performance status, and presence of liver metastasis. The major efficacy outcome measure was OS and additional outcome measures were progression-free survival (PFS) and overall response rate (ORR), both assessed by independent, central, blinded radiological review using RECIST (version 1.0).
The median age of the patients was 63 years (range 27-88 years) with 42% age 65 years or older, 58% were men, and the Karnofsky performance was 90 or 100 in 60%. Nearly half (46%) of the patients had three or more sites of metastatic disease and 84% had liver metastases. The primary lesion was located in the pancreatic head in 43%, the body in 31%, or tail in 25% of patients.
The trial demonstrated a statistically significant prolongation of OS for patients randomized to receive the combination of Abraxane plus gemcitabine [HR 0.72 (95% CI: 0.62, 0.84); p &lt; 0.0001, stratified log-rank test]. The median OS was 8.5 months in the Abraxane plus gemcitabine arm and 6.7 months in the single agent gemcitabine arm. A significant improvement in PFS was also observed with median PFS of 5.5 months in the Abraxane plus gemcitabine arm and 3.7 months in the gemcitabine arm [HR 0 .69 (95% CI: 0.58, 0.82) p &lt; 0.0001, stratified log-rank test]. Objective response rates were 23% and 7% in the Abraxane plus gemcitabine and single agent gemcitabine arms, respectively (p&lt;0.0001, Chi-square test). 
The most frequent (≥20% incidence) adverse reactions reported at a ≥5% higher incidence in patients who received the combination of Abraxane plus gemcitabine as compared to gemcitabine alone included neutropenia, fatigue, peripheral neuropathy, nausea, alopecia, peripheral edema, diarrhea, pyrexia, vomiting, decreased appetite, rash, and dehydration.
The most frequent serious adverse reactions in patients who received the combination were pyrexia, dehydration, pneumonia, and vomiting. Sepsis was reported in 5% and pneumonitis was reported in 4% of patients who received Abraxane plus gemcitabine. 
The recommended dose and schedule for Abraxane is 125 mg/m2 administered as an intravenous infusion over 30-40 minutes on days 1, 8 and 15 of each 28-day cycle until disease progression or if no longer tolerated by the patient. Gemcitabine is administered immediately after Abraxane on days 1, 8 and 15 of each 28-day cycle.
Full prescribing information is available at: http://www.accessdata.fda.gov/drugsatfda_docs/label/2013/021660s037lbl.pdf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t>
  </si>
  <si>
    <t xml:space="preserve">study_ 201</t>
  </si>
  <si>
    <t xml:space="preserve">FDA approved bevacizumab (Avastin, Genentech U.S., Inc.) for use in combination with fluoropyrimidine-irinotecan or fluoropyrimidine-oxaliplatin based chemotherapy for the treatment of patients with metastatic colorectal cancer (mCRC) whose disease has progressed on a first-line bevacizumab-containing regimen. More Information. January 23, 2013</t>
  </si>
  <si>
    <t xml:space="preserve">https://wayback.archive-it.org/7993/20170111064250/http%3A//www.fda.gov/Drugs/InformationOnDrugs/ApprovedDrugs/ucm336763.htm</t>
  </si>
  <si>
    <t xml:space="preserve">Bevacizumab
Share
Tweet
Linkedin
Pin it
More sharing options
Linkedin
Pin it
Email
Print
On January 23, 2013, the U. S. Food and Drug Administration approved bevacizumab (Avastin, Genentech U.S., Inc.) for use in combination with fluoropyrimidine-irinotecan or fluoropyrimidine-oxaliplatin based chemotherapy for the treatment of patients with metastatic colorectal cancer (mCRC) whose disease has progressed on a first-line bevacizumab-containing regimen. Bevacizumab is a recombinant humanized monoclonal IgG1 antibody that binds to human vascular endothelial growth factor (VEGF), preventing the interaction of VEGF to its receptors on the surface of endothelial cells. 
This approval is based on the results of a randomized, open-label, multinational trial enrolling patients with mCRC that progressed during or within 3 months of discontinuation of bevacizumab-based combination chemotherapy with fluoropyrimidine-oxaliplatin or fluoropyrimidine-irinotecan in the first line.
The clinical trial accrued 820 patients who were randomly allocated (1:1) to receive “cross-over” chemotherapy alone (N=411) or “cross-over” chemotherapy in combination with bevacizumab (N=409). Patients received either irinotecan-based therapy or oxaliplatin-based chemotherapy depending on prior treatment (i.e., irinotecan-based regimen for patients who received prior treatment with oxaliplatin and oxaliplatin-based therapy for patients who received prior treatment with irinotecan). The treatment cycles on both arms were repeated every 2 or 3 weeks, depending on the chemotherapy regimen used, and bevacizumab was administered at a dose of 5 mg/kg by intravenous infusion every two weeks or 7.5 mg/kg by intravenous infusion every three weeks. Bevacizumab was continued until disease progression or unacceptable toxicity. 
The primary efficacy endpoint was overall survival (OS). Treatment assignment was stratified by first-line treatment (irinotecan-based vs. oxaliplatin-based), first-line progression-free survival (PFS) (more than 9 months vs. 9 months or less), time from last bevacizumab dose (more than 42 days vs. 42 days or less), and ECOG performance status (0-1 vs. 2).
The median age of the study population was 63 years, 64% were men, and 96% had an ECOG performance status of 0 or 1. A statistically significant OS improvement was observed in patients receiving cross-over chemotherapy plus bevacizumab compared to those receiving cross-over chemotherapy alone [HR 0.81 (95% CI: 0.69, 0.94), p=0.0062, unstratified log-rank test]. Median OS was 11.2 and 9.8 months for patients on the cross-over chemotherapy plus bevacizumab and cross-over chemotherapy arms, respectively. PFS was also significantly improved in patients receiving crossover chemotherapy plus bevacizumab compared to those receiving chemotherapy alone [HR 0.68 (95% CI: 0.59, 0.78), p&lt;0.0001]. The median PFS times were 5.7 and 4.0 months, respectively. 
No new safety signals were observed in this trial. The safety data was consistent with the known safety profile established in previously approved indications.
The recommended dose and schedule in patients receiving bevacizumab in combination with fluoropyrimidine-irinotecan or fluoropyrimidine-oxaliplatin based chemotherapy after progression on a first-line bevacizumab containing regimen is 5 mg/kg administered every 2 weeks or 7.5 mg/kg administered every 3 weeks as a 60-minute IV infusion. 
Full prescribing information is available at: http://www.accessdata.fda.gov/drugsatfda_docs/label/2013/125085s263lbl.pdf
Healthcare professionals should report all serious adverse events suspected to be associated with the use of any medicine and device to FDA’s MedWatch Reporting System by completing a form online athttp://www.fda.gov/medwatch/report.htm, by faxing (1-800-FDA-0178) or mailing the postage-paid address form provided online, or by telephone (1-800-FDA-1088).
 </t>
  </si>
  <si>
    <t xml:space="preserve">study_ 202</t>
  </si>
  <si>
    <t xml:space="preserve">FDA approved an expanded indication for abiraterone acetate (ZytigaTablets, Janssen Biotech, Inc.) in combination with prednisone for the treatment of patients with metastatic castration-resistant prostate cancer. More Information22. December 10, 2012</t>
  </si>
  <si>
    <t xml:space="preserve">https://wayback.archive-it.org/7993/20170111231726/http://www.fda.gov/Drugs/InformationOnDrugs/ApprovedDrugs/ucm331628.htm</t>
  </si>
  <si>
    <t xml:space="preserve">Expanded Approval forAbiraterone Acetate
Share
Tweet
Linkedin
Pin it
More sharing options
Linkedin
Pin it
Email
Print
On December 10, 2012, the U. S. Food and Drug Administration approved an expanded indication for abiraterone acetate (ZytigaTablets, Janssen Biotech, Inc.) in combination with prednisone for the treatment of patients with metastatic castration-resistant prostate cancer.
The approval was based on a trial randomizing patients with metastatic castration-resistant prostate cancer who had not received cytotoxic chemotherapy to either abiraterone acetate plus prednisone (N = 546) or placebo plus prednisone (N = 542). Entry was restricted to patients with metastases to the bone, soft tissue, or lymph nodes. Patients with moderate to severe cancer pain or opiate use for cancer pain were excluded. All patients had a prior orchiectomy or continued to receive a gonadotropin releasing hormone analog.
The co-primary endpoints were radiographic progression-free survival (rPFS) and overall survival (OS). Treatment with abiraterone acetate improved rPFS. The median rPFS was 8.3 months in the placebo arm and had not yet been reached for those receiving abiraterone acetate [HR 0.43 (95% CI: 0.35, 0.52), p &lt; 0.0001]. At the pre-specified third interim analysis, median OS were 35.3 and 30.1 months in the abiraterone acetate and placebo arms, respectively [HR 0.79 (95% CI: 0.66, 0.96)]. These results did not cross the O’Brien-Fleming boundary for statistical significance. The primary endpoints were supported by statistically significant improvements in time-to-opiate use and time-to-cytotoxic chemotherapy.
Safety data were evaluated in 1333 patients with metastatic castration-resistant prostate cancer who received abiraterone acetate plus prednisone and in 934 patients who received placebo plus prednisone in this and the other pivotal trial. The most common (≥10%) adverse reactions included fatigue, joint swelling or discomfort, edema, hot flush, diarrhea, vomiting, cough, hypertension, dyspnea, urinary tract infection, and contusion. The most common laboratory abnormalities (&gt; 20%) included anemia, elevated alkaline phosphatase, hypertriglyceridemia, lymphopenia, hypercholesterolemia, hyperglycemia, elevated AST, hypophosphatemia, elevated ALT, and hypokalemia.
Grade 3-4 adverse reactions occurred in 55% of patients receiving abiraterone acetate and in 50% receiving placebo. Grade 3-4 increases in ALT or AST occurred in 4% of patients in the abiraterone acetate arm. Grade 3-4 cardiac failure occurred more commonly in patients treated with abiraterone acetate compared to those receiving placebo (1.6% vs. 0.2%). Adrenal insufficiency occurred in 0.5% of patients taking abiraterone acetate and in 0.2% of those receiving placebo. Patients should be monitored for adrenocortical insufficiency and mineralocorticoid excess.
The recommended dose and schedule for abiraterone acetate is 1000 mg administered orally once daily in combination with prednisone 5 mg administered orally twice daily. Abiraterone acetate must be taken on an empty stomach. No food should be consumed for at least 2 hours before and for at least 1 hour after abiraterone acetate. Abiraterone Cmax and AUC0-∞ (exposure) were increased up to 17- and 10-fold higher, respectively, when a single dose of abiraterone acetate was administered with a meal compared to a fasted state.
Full prescribing information is available at: http://www.accessdata.fda.gov/drugsatfda_docs/label/2012/202379s005lbl.pdf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t>
  </si>
  <si>
    <t xml:space="preserve">study_ 203</t>
  </si>
  <si>
    <t xml:space="preserve">FDA expanded labeling to include the results of an additional trial evaluating the safety and efficacy of pemetrexed (ALIMTA, Eli Lilly and Company) for the initial treatment of patients with locally advanced or metastatic, non-squamous, non-small cell lung cancer followed by pemetrexed maintenance in patients whose disease has not progressed after four cycles of platinum and pemetrexed as first-line chemotherapy. More Information26. October 17, 2012</t>
  </si>
  <si>
    <t xml:space="preserve">https://wayback.archive-it.org/7993/20170111231726/http://www.fda.gov/Drugs/InformationOnDrugs/ApprovedDrugs/ucm324239.htm</t>
  </si>
  <si>
    <t xml:space="preserve">Pemetrexed
Share
Tweet
Linkedin
Pin it
More sharing options
Linkedin
Pin it
Email
Print
On October 17, 2012, the U. S. Food and Drug Administration expanded labeling to include the results of an additional trial evaluating the safety and efficacy of pemetrexed (ALIMTA, Eli Lilly and Company) for the initial treatment of patients with locally advanced or metastatic, non-squamous, non-small cell lung cancer followed by pemetrexed maintenance in patients whose disease has not progressed after four cycles of platinum and pemetrexed as first-line chemotherapy. 
Pemetrexed is currently approved, in combination with cisplatin therapy, for the initial treatment of patients with locally advanced or metastatic non-squamous, non-small cell lung cancer and for the maintenance treatment of patients with locally advanced or metastatic nonsquamous non-small cell lung cancer whose disease has not progressed after four cycles of platinum-based first-line chemotherapy. Pemetrexed is not indicated for the treatment of patients with squamous cell lung cancer.
The additional trial now described in product labeling is a multi-center, randomized (2:1), double-blind, placebo-controlled trial evaluating pemetrexed maintenance in patients with Stage IIIB/IV non-squamous non-small cell lung cancer whose initial treatment was four cycles of pemetrexed plus cisplatin.
Patients with ECOG performance status 0 or 1 who completed 4 cycles of pemetrexed plus cisplatin with a best response of either stable disease, partial response or complete response were randomized to receive either pemetrexed 500 mg/ m2 intravenously on day 1 of each 21‑day cycle or matching placebo until disease progression. Patients in both study arms also received folic acid and vitamin B12 supplementation for the duration of maintenance treatment and dexamethasone prior to, on the day of, and the day following pemetrexed administration. The primary efficacy outcome was investigator-assessed progression-free survival (PFS).
A total of 539 patients were randomized; 359 patients to pemetrexed and 180 to placebo. Fifty-eight per cent of patients were male, 78% were smokers/former smokers, 87% had adenocarcinoma histology, 68% had ECOG performance status of 1, and 91% had stage IV disease.
A significant improvement in investigator-assessed PFS was observed in patients randomized to receive pemetrexed maintenance compared to those receiving placebo [HR 0.62 (95% CI: 0.49 to 0.79); p &lt; 0.0001]. The median PFS was 4.1 and 2.8 months for patients receiving pemetrexed and placebo, respectively. A significant improvement in overall survival, a key secondary endpoint, was also observed for patients randomized to pemetrexed maintenance compared to those on the placebo arm [HR 0.78 (95% CI: 0.64 to 0.96) p=0.02)]. The median survival times were 13.9 and 11.0 months for patients receiving pemetrexed and placebo, respectively.
Patients received a median of 4 cycles of maintenance in both arms. Treatment was reduced or delayed in approximately 25% of patients in the pemetrexed arm due to toxicity. The most common (&gt;5%) adverse reactions in patients receiving pemetrexed maintenance in this trial were neutropenia, anemia, fatigue, nausea, vomiting, stomatitis and edema. The most common severe adverse reactions were anemia and neutropenia; 13% of patients received red blood cell transfusions, 12% erythropoiesis-stimulating agents, 6% granulocyte colony-stimulating factors, and 1.5% platelet transfusions.
Full prescribing information is available at:http://www.accessdata.fda.gov/drugsatfda_docs/label/2012/021462s039lbl.pdf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t>
  </si>
  <si>
    <t xml:space="preserve">study_ 204</t>
  </si>
  <si>
    <t xml:space="preserve">FDA approved paclitaxel protein-bound particles for injectable suspension, albumin-bound (ABRAXANE for Injectable Suspension; Abraxis Bioscience a wholly owned subsidiary of Celgene Corporation) for use in combination with carboplatin for the initial treatment of patients with locally advanced or metastatic non-small cell lung cancer (NSCLC) who are not candidates for curative surgery or radiation therapy. More Information27. October 11, 2012</t>
  </si>
  <si>
    <t xml:space="preserve">https://wayback.archive-it.org/7993/20170111231726/http://www.fda.gov/Drugs/InformationOnDrugs/ApprovedDrugs/ucm323668.htm</t>
  </si>
  <si>
    <t xml:space="preserve">Paclitaxel (Abraxane)
Share
Tweet
Linkedin
Pin it
More sharing options
Linkedin
Pin it
Email
Print
On October 11, 2012, the U. S. Food and Drug Administration approved paclitaxel protein-bound particles for injectable suspension, albumin-bound (ABRAXANE for Injectable Suspension; Abraxis Bioscience a wholly owned subsidiary of Celgene Corporation) for use in combination with carboplatin for the initial treatment of patients with locally advanced or metastatic non-small cell lung cancer (NSCLC) who are not candidates for curative surgery or radiation therapy.
This approval for the first-line treatment of locally advanced or metastatic NSCLC was granted under the provisions of 505(b)(2) of the Food, Drug, and Cosmetic Act. FDA relied on the prior approval of Taxol (paclitaxel) Injection for this indication supported by an additional trial establishing that ABRAXANE was as at least as active (as determined by overall response rate) as paclitaxel when both agents are used in combination with carboplatin.
This additional trial (Protocol CA031) was a randomized, open-label, multi-national trial that enrolled 1052 patients with locally advanced or metastatic NSCLC. Patients were randomized to receive ABRAXANE at a dose of 100 mg/m2 as a weekly infusion (n=521) or paclitaxel injection at a dose of 200 mg/m2 as an intravenous infusion every three weeks (n=531). Patients in both treatment arms also received carboplatin at the same dose and schedule (AUC 6 mg•min/mL) every 3 weeks. All patients receiving paclitaxel were required to be premedicated with corticosteroids and an antihistamine, while those in the ABRAXANE arm received premedication at the investigator’s discretion.
The primary efficacy objective was to demonstrate that patients receiving ABRAXANE plus carboplatin had a significantly higher overall response rate (ORR) with no evidence of a significant impairment in overall survival compared to those receiving paclitaxel plus carboplatin. The primary endpoint of ORR, defined as percentage of patients who achieved a durable complete or partial response, was determined by a radiological review committee masked to treatment assignment. 
The CA031 trial met its primary end-point demonstrating a statistically significantly higher overall response rate for patients in the ABRAXANE -containing arm of 33% (95% CI: 29, 37) compared to 25% (95% CI: 21, 28) for patients in the paclitaxel-containing arm (p = 0.005, chi square test). The absolute increase was in ORR was 8% (95% CI: 2, 8). The durability of responses was similar for responding patients in the two treatment groups, with median response durations of 6.9 and 6.0 months for the ABRAXANE and paclitaxel arms, respectively. There was no statistically significant difference in overall survival between the two treatment arms.
Safety was evaluated in 1038 patients who received at least one dose of planned treatment. The most common (≥ 10% incidence) grade 1-4 adverse drug reactions reported in the ABRAXANE -containing arm included anemia, neutropenia, thrombocytopenia, alopecia, peripheral neuropathy, nausea, fatigue, decreased appetite, asthenia, constipation, diarrhea, arthralgia, vomiting, dyspnea, peripheral edema, rash, and myalgia. The most common (≥ 5%) grade 3-4 adverse reactions were neutropenia, anemia, and thrombocytopenia.
Serious adverse reactions occurred in 18% of patients in both treatment arms. The most common serious adverse reactions in the ABRAXANE -containing arm were anemia (4%) and thrombocytopenia (3%). 
The recommended dose and schedule for initial treatment of patients with locally advanced or metastatic NSCLC is ABRAXANE,100 mg/m2 administered as an intravenous infusion over 30 minutes, on days 1, 8, and 15 of each 21-day cycle. The recommended dose of carboplatin is AUC = 6 mg•min/mL on day 1 of each 21-day cycle following the completion of ABRAXANE infusion. 
Full prescribing information is available at: http://www.accessdata.fda.gov/drugsatfda_docs/label/2012/021660s031lbl.pdf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t>
  </si>
  <si>
    <t xml:space="preserve">study_ 205</t>
  </si>
  <si>
    <t xml:space="preserve">NCT00540514</t>
  </si>
  <si>
    <t xml:space="preserve">CA031</t>
  </si>
  <si>
    <t xml:space="preserve">FDA approved ziv-aflibercept injection (ZALTRAP, Sanofi U.S., Inc.) for use in combination with 5-fluorouracil, leucovorin, irinotecan (FOLFIRI) for the treatment of patients with metastatic colorectal cancer (mCRC) that is resistant to or has progressed following an oxaliplatin containing regimen. More Information33. August 3, 2012</t>
  </si>
  <si>
    <t xml:space="preserve">https://wayback.archive-it.org/7993/20170111231726/http://www.fda.gov/Drugs/InformationOnDrugs/ApprovedDrugs/ucm314438.htm</t>
  </si>
  <si>
    <t xml:space="preserve">Ziv-Aflibercept
Share
Tweet
Linkedin
Pin it
More sharing options
Linkedin
Pin it
Email
Print
On August 3, 2012, the U. S. Food and Drug Administration approved ziv-aflibercept injection (Zaltrap, Sanofi U.S., Inc.) for use in combination with 5-fluorouracil, leucovorin, irinotecan (FOLFIRI) for the treatment of patients with metastatic colorectal cancer (mCRC) that is resistant to or has progressed following an oxaliplatin‑containing regimen. Ziv-aflibercept (previously known as aflibercept) is a recombinant fusion protein consisting of vascular endothelial growth factor (VEGF)-binding portions from the extracellular domains of human VEGF receptors 1 and 2 that are fused to the Fc portion of the human IgG1 immunoglobulin. 
This approval is based on the results of a randomized, double-blind, placebo-controlled, global, multicenter trial enrolling patients with mCRC that progressed during or within 6 months of receiving oxaliplatin-based combination chemotherapy, with or without prior bevacizumab.
The Phase 3 trial accrued 1226 patients who were randomly allocated (1:1) to receive FOLFIRI (irinotecan 180 mg/m2 IV infusion over 90 minutes, leucovorin 400 mg/m² IV infusion over 2 hours, followed by 5-FU 400 mg/m² IV bolus, followed by 5-FU 2400 mg/m² continuous IV infusion over 46-hours) with either ziv-aflibercept (N=612) or placebo (N=614). Ziv-aflibercept was administered at a dose of 4 mg/kg IV infusion over 1 hour prior to FOLFIRI. The treatment cycles on both arms were repeated every 2 weeks. Patients were treated until disease progression or unacceptable toxicity. The primary efficacy endpoint was overall survival (OS). Treatment assignment was stratified by the ECOG performance status and prior exposure to bevacizumab.
Median age of randomized patients was 61 years, 59% were men, and 98% had an ECOG performance status of 0 or 1. All patients had received prior oxaliplatin treatment. A statistically significant improvement in OS was observed in patients receiving FOLFIRI plus ziv-aflibercept compared to those receiving FOLFIRI plus placebo [HR 0.82 (95% CI: 0.71, 0.94), p=0.0032, stratified log-rank test]. The median OS was 13.5 and 12.06 months for patients on the ziv-aflibercept and placebo arms, respectively. Median progression-free survival in the ziv-aflibercept arm was 6.9 compared to 4.7 months in the placebo arm [HR 0.76 (95% CI: 0.66, 0.87), p=0.00007]. 
The most common adverse reactions, (all grades), occurring in ≥ 20% of patients in the ziv-aflibercept plus FOLFIRI arm (with &gt; 2% difference between arms) were leukopenia, diarrhea, neutropenia, proteinuria, increased AST and ALT, stomatitis, fatigue, thrombocytopenia, hypertension, decreased weight, decreased appetite, epistaxis, abdominal pain, dysphonia, increased serum creatinine, and headache. The most common grade 3-4 adverse reactions (≥ 5%) reported at a higher incidence in the ziv-aflibercept plus FOLFIRI arm (&gt; 2% difference between arms) were neutropenia, diarrhea, hypertension, leukopenia, stomatitis, fatigue, proteinuria, and asthenia. 
Severe and sometimes fatal hemorrhages, including gastrointestinal hemorrhages, have been reported in patients receiving ziv-aflibercept. Grade 3-4 hemorrhagic events occurred in 2.9% of patients receiving FOLFIRI plus ziv-aflibercept compared with 1.7% of those receiving FOLFIRI plus placebo. In addition to hemorrhage, the ziv-aflibercept label contains a Boxed Warning for the serious adverse reactions gastrointestinal perforation and compromised wound healing. 
Arterial thromboembolic events were observed in 1.7% and 2.6% of patients in the placebo and ziv-aflibercept containing arms, respectively. Venous thromboembolic events were also observed more frequently with ziv-aflibercept: 9% patients in the ziv-aflibercept-containing arm compared to 7% in the placebo-containing arm. Fistula formation and reversible posterior leukoencephalopathy syndrome have also been reported in patients who received ziv-aflibercept.
The recommended ziv-aflibercept dose and schedule is 4 mg/kg administered as a 60-minute IV infusion every 2 weeks in combination with the FOLFIRI regimen.
Full prescribing information, including Boxed Warning, clinical trial information, safety, dosing, and use in specific populations are available at: http://www.accessdata.fda.gov/drugsatfda_docs/label/2012/125418s000lbl.pdf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t>
  </si>
  <si>
    <t xml:space="preserve">study_ 206</t>
  </si>
  <si>
    <t xml:space="preserve">FDA approved everolimus tablets (Afinitor®, Novartis Pharmaceuticals Corporation) for the treatment of postmenopausal women with advanced hormone receptor-positive, HER2-negative breast cancer in combination with exemestane, after failure of treatment with letrozole or anastrozole. More Information.34 July 20, 2012</t>
  </si>
  <si>
    <t xml:space="preserve">https://wayback.archive-it.org/7993/20170111231726/http://www.fda.gov/Drugs/InformationOnDrugs/ApprovedDrugs/ucm313008.htm</t>
  </si>
  <si>
    <t xml:space="preserve">Everolimus 2012
Share
Tweet
Linkedin
Pin it
More sharing options
Linkedin
Pin it
Email
Print
On July 20, 2012, the U.S. Food and Drug Administration approved everolimus tablets (Afinitor, Novartis Pharmaceuticals Corporation) for the treatment of postmenopausal women with advanced hormone receptor-positive, HER2-negative breast cancer in combination with exemestane, after failure of treatment with letrozole or anastrozole. The approval was based on a randomized, double-blind, multicenter trial conducted in 724 postmenopausal women with estrogen receptor-positive, HER2-negative, advanced breast cancer with recurrence or progression following prior therapy with letrozole or anastrozole. Patients were randomly allocated (2:1) to everolimus 10 mg/day plus exemestane 25 mg/day (n=485) or to placebo plus exemestane 25 mg/day (n=239). Patients were not permitted to cross over to everolimus at the time of disease progression. 
The median progression-free survival (PFS) by investigator assessment at the time of the final PFS analysis was 7.8 and 3.2 months in the everolimus and placebo arms, respectively [HR 0.45 (95% CI: 0.38, 0.54), p &lt; 0.0001]. The results of the PFS analysis based on independent central radiological assessment were consistent with the investigator assessment. PFS results were also consistent across the subgroups of age, race, presence and extent of visceral metastases, and sensitivity to prior hormonal therapy. The objective response rates were 12.6% and 1.7% in the everolimus and placebo arms, respectively. An interim analysis of overall survival (OS) conducted at 46% of expected events was not statistically significant [HR=0.77 (95% CI: 0.57, 1.04)]. The final analysis of OS is expected to occur in June 2014. 
Safety was evaluated in 720 patients enrolled in the randomized trial. The most common grade 1-4 adverse reactions (incidence ≥ 30%) in patients receiving everolimus plus exemestane were stomatitis, infections, rash, fatigue, diarrhea, and decreased appetite. The most common grade 3-4 adverse reactions (≥ 2%) were stomatitis, infections, hyperglycemia, fatigue, dyspnea, pneumonitis, and diarrhea. The most common grade 3-4 laboratory abnormalities (≥ 3%) were lymphopenia, hyperglycemia, anemia, decreased potassium, increased AST, increased ALT, and thrombocytopenia.
Fatal adverse reactions occurred in 2% of patients on the everolimus arm compared to 0.4% of patients on the placebo arm. Adverse reactions resulting in permanent discontinuation occurred in 24% and 5% of patients in the everolimus and placebo arms, respectively. Dose interruptions or reductions were necessary in 63% of patients on the everolimus arm compared to 14% on the placebo arm.
Forty percent of patients on the everolimus arm were ≥ 65 years of age and 15% were ≥ 75 years of age. No overall differences in effectiveness were observed between elderly and younger patients. The incidence of deaths due to any cause within 28 days of the last everolimus dose was 6% in patients ≥ 65 years of age compared to 2% in patients &lt; 65 years of age. Adverse reactions leading to permanent treatment discontinuation occurred in 33% of patients ≥ 65 years of age compared to 17% of patients &lt; 65 years of age.
The recommended dose and schedule for everolimus for this indication is 10 mg orally each day. Patients with severe or intolerable adverse reactions may require dose reduction or interruption.
Full prescribing information, including clinical trial information, safety, dosing, drug-drug interactions and contraindications is available at: http://www.accessdata.fda.gov/drugsatfda_docs/label/2012/022334s016lbl.pdf
Healthcare professionals should report all serious adverse events suspected to be associated with the use of any medicine and device to FDA's MedWatch Reporting System by completing a form online, by faxing (1-800-FDA-0178) or mailing the postage-paid address form provided online, or by telephone (1-800-FDA-1088).</t>
  </si>
  <si>
    <t xml:space="preserve">study_ 207</t>
  </si>
  <si>
    <t xml:space="preserve">FDA granted approval to cetuximab (Erbitux, ImClone LLC, a wholly owned subsidiary of Eli Lilly and Co) for use in combination with FOLFIRI (irinotecan, 5-fluorouracil, leucovorin) for first-line treatment of patients with K-ras mutation-negative (wild-type), EGFR-expressing metastatic colorectal cancer (mCRC) as determined by FDA-approved tests for this use.
FDA also approved the Therascreen KRAS RGQ PCR Kit (QIAGEN Manchester, Ltd) concurrent with this cetuximab approval. More Information36. July 9, 2012</t>
  </si>
  <si>
    <t xml:space="preserve">https://wayback.archive-it.org/7993/20170111231726/http://www.fda.gov/Drugs/InformationOnDrugs/ApprovedDrugs/ucm310933.htm</t>
  </si>
  <si>
    <t xml:space="preserve">Cetuximab in Combination with Folfiri / Therascreen
Share
Tweet
Linkedin
Pin it
More sharing options
Linkedin
Pin it
Email
Print
On July 6, 2012 , the U. S. Food and Drug Administration granted approval to cetuximab (Erbitux, ImClone LLC, a wholly owned subsidiary of Eli Lilly and Co) for use in combination with FOLFIRI (irinotecan, 5-fluorouracil, leucovorin) for first-line treatment of patients with K-ras mutation-negative (wild-type), EGFR-expressing metastatic colorectal cancer (mCRC) as determined by FDA-approved tests for this use.
FDA also approved the Therascreen KRAS RGQ PCR Kit (QIAGEN Manchester, Ltd) concurrent with this cetuximab approval. 
This approval was based on retrospective analyses in the patient subsets according to K-ras mutation status in tumor samples from patients enrolled in the CRYSTAL trial and in two supportive studies, CA225025 and EMR 62 202-047 (OPUS). The addition of cetuximab to chemotherapy or best supportive care (BSC) resulted in improved survival (OS), progression-free survival (PFS), and overall responses rates (ORR) in the subset with K-ras wild-type tumors; whereas, there was no benefit or potential harm in patients with K-ras mutant tumors. The approval of the companion diagnostic, the QIAGEN Therascreen KRAS RGQ PCR Kit, provides a reliable way to identify these subsets of patients with colon cancer. This QIAGEN test, a genetic assay, is a real-time polymerase chain reaction assay detecting 7 different mutations of the K-ras gene in a tumor specimen. Tumors that are K-ras mutation-negative in this assay are commonly referred to as K-ras wild-type.
CRYSTAL was an open-label, randomized, controlled trial in patients with EGFR-expressing mCRC who had not received prior chemotherapy for metastatic disease. A total of 1217 patients, irrespective of K-ras mutation status, were randomized (1:1) to receive either cetuximab in combination with FOLFIRI or FOLFIRI alone. PFS was the primary efficacy endpoint.
A statistically significant improvement in PFS was observed with cetuximab plus FOLFIRI arm compared to the FOLFIRI alone [median PFS 8.9 vs. 8.1 months, HR 0.85, (95% CI: 0.74, 0.99), p-value=0.036] in the overall population. OS, a secondary endpoint, was not significant in the planned analysis [HR 0.93, (95% CI: 0.82, 1.07), p-value 0.327, 838 events]. In an updated analysis with an additional 162 events, the median OS was 19.6 compared to 18.5 months for cetuximab-containing arm and FOLFIRI alone arm [HR 0.88 (95% CI: 0.78, 1.00)]. 
Retrospective efficacy analyses in patient subsets with K-ras wild-type and mutant tumors, demonstrated that in the wild-type subgroup, the addition of cetuximab to FOLFIRI resulted in a favorable effect on OS, PFS and ORR. Tumor tissue was evaluable for K-ras mutation status assessment in 89% of the patients (N=1079/1217); 676 (63%) had wild-type and 403 (37%) had mutant tumors. 
The median OS for the wild-type subgroup was 23.5 versus 19.5 months for the cetuximab plus FOLFIRI and FOLFIRI alone, respectively [HR 0.80 (95% CI: 0.67, 0.94)]. PFS and ORR findings in the K-ras wild-type subgroup supported the efficacy of cetuximab in combination with FOLFIRI; the median PFS was 9.5 versus 8.1 months for cetuximab plus FOLFIRI and FOLFIRI alone, respectively [HR 0.70 (95% CI: 0.57, 0.86)]. ORR was 57% with cetuximab plus FOLFIRI compared to 39% with FOLFIRI alone. In the mutant subgroup, improvements in OS, PFS or ORR were not observed with the addition of cetuximab to FOLFIRI compared to FOLFIRI alone.
Retrospective analyses of two supportive studies, CA225025 and OPUS by tumor K-ras mutation status supported cetuximab’s efficacy in the wild-type subgroup: 
CA225025 was an open-label, randomized, trial comparing cetuximab plus best supportive care (BSC) with BSC alone in patients with previously treated EGFR-expressing mCRC. CA225025 demonstrated a statistically significant improvement in OS in the cetuximab plus BSC arm compared to BSC alone. The planned efficacy results served as the basis for the full approval of cetuximab in October 2007 as a single agent for EGFR-expressing mCRC after failure of both irinotecan- and oxaliplatin-based regimens or in patients intolerant to irinotecan-based regimens. 
Tumor tissue was evaluable for K-ras mutation status in 79% of patients (N=453/572). In the wild-type subgroup, cetuximab plus BSC resulted in an improvement in OS compared to those receiving BSC alone [HR 0.63 (95% CI: 0.47, 0.84)]. The median OS was 8.6 versus 5.0 months in the cetuximab plus BSC and BSC arms, respectively. The median PFS was 3.8 and 1.9 months for the cetuximab plus BSC and the BSC alone, respectively [HR 0.42 (95% CI: 0.32, 0.56)]. In the mutant subgroup, no improvements in OS, PFS or ORR were observed with the addition of cetuximab to BSC compared to BSC alone.
OPUS was a randomized, open-label, phase 2 study comparing cetuximab in combination with 5-flourouracil, folinic acid, and oxaliplatin (FOLFOX-4) to FOLFOX-4 alone as first-line treatment of EGFR-expressing mCRC. Tumor tissue was evaluable for retrospective K-ras mutation status analysis in 93% of patients (N=315/337). ORR was the trial’s primary endpoint. In the wild-type subgroup (N=179/315, 57%), ORR was 57% (95% CI: 46, 68) in the cetuximab plus FOLFOX-4 arm compared to 34% (95% CI: 25, 44) with FOLFOX-4. A numerical improvement in PFS was noted in the wild-type subgroup [HR 0.57 (95% CI: 0.38, 0.86)]. The median PFS was 8.3 compared to 7.2 months favoring the cetuximab-containing arm. A numerical OS improvement was also observed in the wild-type subgroup [HR 0.86 (95% CI: 0.60, 1.22)]. The median OS for the cetuximab-containing arm was 22.8 versus 18.5 months in the control arm. In the K-ras mutant subgroup (N=136/315, 43%), improvement in OS, PFS or ORR were not observed with cetuximab plus FOLFOX-4 compared to FOLFOX-4 alone.
Safety data were evaluated in 317 patients in the wild-type subgroup who received cetuximab in combination with FOLFIRI in the CRYSTAL study and in 118 patients with wild-type tumors who received cetuximab monotherapy in CA225025. 
The frequency and nature of the adverse events, including adverse events associated with cetuximab (acne-like rash, infusion reactions, cardiac events, and hypomagnesemia) observed in CRYSTAL, CA225025, and OPUS in the wild-type population were consistent with the known adverse drug reaction profiles of either cetuximab, chemotherapy agents, or the underlying disease. No significant differences between the wild-type, mutant and the overall safety populations have been noted.
The recommended dose and schedule for cetuximab is 400 mg/m2 administered intravenously as a 120-minute infusion as an initial dose, followed by 250 mg/m2 infused over 30 minutes weekly in combination with FOLFIRI. Cetuximab administration should be completed 1 hour prior to FOLFIRI.
Product labeling for cetuximab provides “Limitation of Use” information specifying that cetuximab is not indicated for treatment of K-ras mutation-positive colorectal cancer.
Full prescribing information, including clinical trial information, safety, dosing, drug-drug interactions and contraindications is available at: http://www.accessdata.fda.gov/drugsatfda_docs/label/2012/125084s225lbl.pdf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t>
  </si>
  <si>
    <t xml:space="preserve">study_ 208</t>
  </si>
  <si>
    <t xml:space="preserve">NCT00154102;NCT00079066;NCT00125034</t>
  </si>
  <si>
    <t xml:space="preserve">CRYSTAL; CA225025; OPUS</t>
  </si>
  <si>
    <t xml:space="preserve">CRYSTAL;CA225025;OPUS</t>
  </si>
  <si>
    <t xml:space="preserve">FDA approved pertuzumab injection (PERJETA, Genentech, Inc.) for use in combination with trastuzumab and docetaxel for the treatment of patients with HER2-positive metastatic breast cancer who have not received prior anti-HER2 therapy or chemotherapy for metastatic disease. Pertuzumab is a recombinant humanized monoclonal antibody that targets the extracellular dimerization domain (Subdomain II) of HER2, and thereby blocks ligand-dependent heterodimerization of HER2 with other HER family members, including EGFR, HER3 and HER4. More Information37. June 8, 2012</t>
  </si>
  <si>
    <t xml:space="preserve">https://wayback.archive-it.org/7993/20170111231726/http://www.fda.gov/Drugs/InformationOnDrugs/ApprovedDrugs/ucm307592.htm</t>
  </si>
  <si>
    <t xml:space="preserve">FDA Approves Pertuzumab
Share
Tweet
Linkedin
Pin it
More sharing options
Linkedin
Pin it
Email
Print
On June 8, 2012, the U. S. Food and Drug Administration approved pertuzumab injection (PERJETA, Genentech, Inc.) for use in combination with trastuzumab and docetaxel for the treatment of patients with HER2-positive metastatic breast cancer who have not received prior anti-HER2 therapy or chemotherapy for metastatic disease. Pertuzumab is a recombinant humanized monoclonal antibody that targets the extracellular dimerization domain (Subdomain II) of HER2, and thereby blocks ligand-dependent heterodimerization of HER2 with other HER family members, including EGFR, HER3 and HER4. 
The approval is based on a randomized, double-blind, placebo-controlled, multicenter trial in patients with HER2-positive metastatic breast cancer. Breast tumor specimens were required to show HER2 overexpression defined as 3+ IHC or FISH amplification ratio ≥ 2.0 using FDA-approved tests at a central laboratory. Patients with prior adjuvant or neoadjuvant therapy were required to have a disease-free interval of greater than 12 months before trial enrollment. 
The trial enrolled 808 patients who were randomly allocated (1:1) to receive pertuzumab in combination with trastuzumab and docetaxel (n=402) or placebo in combination with trastuzumab and docetaxel (n=406). Pertuzumab was given by intravenous (IV) infusion at an initial dose of 840 mg, followed by 420 mg every three weeks thereafter. Treatment continued until disease progression, unacceptable toxicity, or consent withdrawal. 
All but two patients were female (99.8%), and the median age was 54 years. Forty-eight percent of patients were hormone receptor positive, and 47% received prior adjuvant or neoadjuvant chemotherapy. Forty-five percent of hormone receptor positive patients received prior adjuvant hormonal therapy. Eleven percent of patients received prior adjuvant or neoadjuvant trastuzumab. 
A statistically significant 6.1 month improvement in median progression-free survival (PFS) was observed in patients receiving pertuzumab compared to those receiving placebo [HR 0.62 (95% CI: 0.51, 0.75), p&lt; 0.0001, log-rank test]. The median PFS was 18.5 and 12.4 months for patients on the pertuzumab and placebo arms, respectively. At the time of PFS analysis, a planned interim analysis for overall survival (OS) was performed [HR 0.64 (95% CI: 0.47, 0.88), p=0.0053]. However, the HR and p-value for the interim analysis of OS did not meet the pre-defined stopping boundary (HR ≤ 0.603, p ≤ 0.0012).
The most common (&gt; 30%) adverse reactions observed in patients receiving pertuzumab in combination with trastuzumab and docetaxel neutropenia, nausea, fatigue, rash, and peripheral neuropathy. The most common (&gt; 2%) NCI – CTCAE (version 3) Grade 3 – 4 adverse reactions were neutropenia, febrile neutropenia, leukopenia, diarrhea, peripheral neuropathy, anemia, asthenia, and fatigue. Other significant adverse reactions reported with pertuzumab include left ventricular dysfunction, infusion-associated reactions, hypersensitivity reactions, and anaphylaxis. Pertuzumab in combination with trastuzumab and docetaxel was not associated with increases in the incidence of symptomatic left ventricular systolic dysfunction (LVSD) or decreases in left ventricular ejection fraction (LVEF) compared with placebo in combination with trastuzumab and docetaxel.were diarrhea, alopecia,
Pertuzumab is being approved with a BOXED WARNING regarding embryo-fetal toxicity and birth defects, based on observations of oligohydramnios, delayed renal development and embryo-fetal death in animal studies. Patients should be advised of these risks and need for effective contraception prior to starting pertuzumab. 
The recommended dose and schedule of pertuzumab is an initial dose of 840 mg administered as a 60-minute IV infusion, followed every 3 weeks, thereafter, by 420 mg administered as a 30 to 60 minute IV infusion. When administered with pertuzumab the recommended initial trastuzumab dose is 8 mg/kg administered as a 90-minute IV infusion, followed every 3 weeks by a dose of 6 mg/kg administered IV over 30 to 90 minutes. When administered with pertuzumab, the recommended initial docetaxel dose is 75 mg/m2 administered as an IV infusion. The dose may be escalated to 100 mg/m2 administered every 3 weeks if the initial dose is well tolerated.
Full prescribing information, including Boxed Warning for embryo-fetal toxicity, clinical trial information, safety, dosing, and use in specific populations is available at: http://www.accessdata.fda.gov/drugsatfda_docs/label/2012/125409lbl.pdf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t>
  </si>
  <si>
    <t xml:space="preserve">study_ 209</t>
  </si>
  <si>
    <t xml:space="preserve">FDA approved asparaginase Erwinia chrysanthemi [Erwinaze, injection, EUSA Pharma (USA), Inc.] as a component of a multi-agent chemotherapeutic regimen for the treatment of patients with acute lymphoblastic leukemia (ALL) who have developed hypersensitivity to E. coli-derived asparaginase. More Information47 (November 18, 2011)</t>
  </si>
  <si>
    <t xml:space="preserve">https://wayback.archive-it.org/7993/20170111231727/http://www.fda.gov/AboutFDA/CentersOffices/OfficeofMedicalProductsandTobacco/CDER/ucm280543.htm</t>
  </si>
  <si>
    <t xml:space="preserve">asparaginase Erwinia chrysanthemi
Share
Tweet
Linkedin
Pin it
More sharing options
Linkedin
Pin it
Email
Print
On November 18, 2011, the U. S. Food and Drug Administration approved asparaginase Erwinia chrysanthemi [Erwinaze, injection, EUSA Pharma (USA), Inc.] as a component of a multi-agent chemotherapeutic regimen for the treatment of patients with acute lymphoblastic leukemia (ALL) who have developed hypersensitivity to E. coli-derived asparaginase.
The approval was based on one clinical study in 58 patients with ALL who were unable to continue receiving pegaspargase or asparaginase derived from E. coli due to allergic reactions. The major efficacy outcome was attainment of sustained serum asparaginase activity levels of 0.1 IU/mL or higher, which is known to result in depletion of asparagine to levels that predict efficacy. Among 48 patients with available samples, all patients achieved this threshold trough level of asparaginase activity.
Safety was evaluated in 58 patients treated on the clinical study and in 574 patients treated on the Erwinaze Master Treatment Protocol (EMTP), an expanded access program.
The most serious adverse reactions included allergic reactions (including anaphylaxis), pancreatitis, abnormal transaminases, coagulopathies, hemorrhage, nausea, vomiting and hyperglycemia. Common adverse reactions were similar in severity and incidence to those attributable to E. coli-derived asparaginase.
The recommended dose and schedules for asparaginase Erwinia chrysanthemi are listed below.
In substitution for pegaspargase:
25,000 International Units/m2 administered intramuscularly three times a week (Monday/Wednesday/Friday) for six doses for each planned pegaspargase dose. 
In substitution for native E. coli asparaginase:
25,000 International Units/m2 administered intramuscularly for each scheduled dose of native E. coli asparaginase within a treatment course. 
Full prescribing information, including clinical trial information, safety, dosing, drug-drug interactions and contraindications is available at: http://www.accessdata.fda.gov/drugsatfda_docs/label/2011/125359lbl.pdf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t>
  </si>
  <si>
    <t xml:space="preserve">study_ 210</t>
  </si>
  <si>
    <t xml:space="preserve">EMTP; CLINICAL STUDY</t>
  </si>
  <si>
    <t xml:space="preserve">FDA approved cetuximab (Erbitux, ImClone LLC, a wholly-owned subsidiary of Eli-Lilly and Company) in combination with platinum-based therapy plus 5-florouracil (5-FU) for the first-line treatment of patients with recurrent locoregional disease and/or metastatic squamous cell carcinoma of the head and neck (SCCHN). More Information49 (November 7, 2011)</t>
  </si>
  <si>
    <t xml:space="preserve">https://wayback.archive-it.org/7993/20170111231727/http://www.fda.gov/AboutFDA/CentersOffices/OfficeofMedicalProductsandTobacco/CDER/ucm278957.htm</t>
  </si>
  <si>
    <t xml:space="preserve">Cetuximab (Erbitux)
Share
Tweet
Linkedin
Pin it
More sharing options
Linkedin
Pin it
Email
Print
On November 7, 2011, the U.S. Food and Drug Administration approved cetuximab (Erbitux, ImClone LLC, a wholly-owned subsidiary of Eli-Lilly and Company) in combination with platinum-based therapy plus 5-florouracil (5-FU) for the first-line treatment of patients with recurrent locoregional disease and/or metastatic squamous cell carcinoma of the head and neck (SCCHN).
The approval was based primarily on the results of a multi-center clinical study conducted outside the U.S. in 442 patients with metastatic or locally recurrent head and neck cancer who were not suitable for potentially curative treatment with surgery or radiation. The study used a European Union (EU) approved cetuximab rather than the US-approved cetuximab (Erbitux). Erbitux provides approximately 22% higher exposure relative to the EU-approved cetuximab; these pharmacokinetic data, together with the results of the study conducted in Europe and other clinical trial data using Erbitux establish the safety and efficacy of Erbitux at the recommended dose.
The trial enrolled 442 patients; 222 patients received cetuximab plus cisplatin (or carboplatin) with 5FU and 220 patients received cisplatin (or carboplatin) with 5-FU. The selection of cisplatin or carboplatin was at the discretion of the treating health care provider.
Either cisplatin (100 mg/m2 intravenously day 1) or carboplatin (AUC 5 intravenously day 1) with 5-FU (1000 mg/m2/day continuous intravenous infusion days 1–4) were administered every 3 weeks (1 cycle). A maximum of 6 cycles was administered in the absence of disease progression or unacceptable toxicity. Cetuximab, 400 mg/m2 intravenously, was administered as an initial dose followed by cetuximab, 250 mg/m2 intravenously weekly, in combination with chemotherapy. After completion of 6 planned courses, patients demonstrating at least stable disease on cetuximab in combination with chemotherapy continued cetuximab monotherapy (250 mg/m2 weekly) in the absence of disease progression or unacceptable toxicity.
Of the 442 randomized patients, the median age was 57 years, 90% were male, 98% were Caucasian, and 88% had baseline Karnofsky Performance Status ≥80. Thirty-four percent had oropharyngeal, 25% laryngeal, 20% oral cavity, and 14% hypopharyngeal primary tumors. Fifty-three percent had recurrent disease without metatases; the remaining 47% had metastatic disease including recurrence.
Sixty-four percent received cisplatin while 34% received carboplatin as initial therapy. Approximately 15% of patients changed from cisplatin to carboplatin during the treatment period.
The major efficacy outcome measure of the trial was overall survival (OS). Other outcome measures included progression-free survival (PFS) and objective response rate (ORR).
The median follow-up at the time of the OS analysis was 19.1 and 18.2 months for the cetuximab plus chemotherapy arm and the chemotherapy alone arm, respectively. Overall survival was significantly improved in patients receiving cetuximab plus chemotherapy compared to those receiving chemotherapy alone (HR=0.80; 95% CI: 0.64, 0.98; p = 0.034, stratified log-rank test). The median survival for patients receiving cetuximab plus chemotherapy was 10.1 months compared to 7.4 months for those receiving chemotherapy alone.
Progression-free survival was also significantly improved in patients receiving cetuximab plus chemotherapy (HR=0.57; 95% CI: 0.46, 0.72; p&lt;0.0001, stratified log-rank test). The median PFS times were 5.5 and 3.3 months in the cetuximab plus chemotherapy and the chemotherapy alone arms, respectively. The objective response rates were 35.6% and 19.5% [Odds Ratio (OR) 2.33; 95% CI: 1.50, 3.60; p-value 0.0001, Cochran-Mantel-Haenszel test] in the cetuximab plus chemotherapy and the chemotherapy alone arms, respectively.
Exploratory subgroup analyses were conducted in subgroups by initial platinum therapy (cisplatin or carboplatin). For patients (N=284) receiving the EU-approved cetuximab plus cisplatin with 5-FU compared to cisplatin with 5‑FU alone, the difference in median overall survival times was 3.3 months, with median OS times of 10.6 and 7.3 months respectively [HR 0.71 (95% CI: 0.54, 0.93)]. The difference in median progression-free survival was 2.1 months, with median PFS times of 5.6 and 3.5 months respectively [HR 0.55 (95% CI: 0.41, 0.73)]. The objective response rates were 39% and 23% respectively [OR 2.18 (95% CI: 1.29, 3.69)]. For patients (N=149) receiving cetuximab plus carboplatin with 5-FU compared to carboplatin with 5-FU alone, the difference in median overall survival was 1.4 months, with median survival of 9.7 and 8.3 months, respectively [HR 0.99 (95% CI: 0.69, 1.43)]. The difference in median progression-free survival was 1.7 months with median PFS times of 4.8 and 3.1 months, respectively [HR 0.61 (95% CI: 0.42, 0.89)]. The objective response rates were 30% and 15%, respectively [OR 2.45 (95% CI: 1.10, 5.46)].
The most common adverse reactions (≥25%) in patients treated with cetuximab plus chemotherapy were nausea, anemia, vomiting, neutropenia, rash, asthenia, diarrhea, and anorexia. Conjunctivitis occurred in 10% of the patients receiving cetuximab plus chemotherapy. Other adverse reactions, sometimes severe, caused by cetuximab included infusion reactions, hypomagnesemia, hypocalcemia and hypokalemia. Death attributed to cardiovascular event or sudden death was reported in 3.2% of the patients in the cetuximab plus chemotherapy arm and in 1.9% in the chemotherapy alone arm.
Health care providers should closely monitor serum electrolytes, including serum magnesium, potassium, and calcium, during and after cetuximab administration.
The approved dose of Erbitux is 400 mg/m2 intravenously as an initial dose, followed by 250 mg/m2 intravenously weekly in combination with cisplatin or carboplatin plus continuous infusion 5-FU.
Full prescribing information, including clinical trial information, safety, dosing, drug-drug interactions and contraindications is available at: http://www.accessdata.fda.gov/drugsatfda_docs/label/2011/125084s153lbl.pdf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t>
  </si>
  <si>
    <t xml:space="preserve">study_ 211</t>
  </si>
  <si>
    <t xml:space="preserve">FDA approved abiraterone acetate (Zytiga Tablets, Centocor Ortho Biotech, Inc.) for use in combination with prednisone for the treatment of patients with metastatic castration-resistant prostate cancer (mCRPC) who have received prior chemotherapy containing docetaxel. More Information59 (April 28, 2011) </t>
  </si>
  <si>
    <t xml:space="preserve">https://wayback.archive-it.org/7993/20170111231727/http://www.fda.gov/AboutFDA/CentersOffices/OfficeofMedicalProductsandTobacco/CDER/ucm253139.htm</t>
  </si>
  <si>
    <t xml:space="preserve">Abiraterone Acetate
Share
Tweet
Linkedin
Pin it
More sharing options
Linkedin
Pin it
Email
Print
On April 28, 2011, the U.S. Food and Drug Administration approved abiraterone acetate (Zytiga Tablets, Centocor Ortho Biotech, Inc.) for use in combination with prednisone for the treatment of patients with metastatic castration-resistant prostate cancer (mCRPC) who have received prior chemotherapy containing docetaxel. 
The approval is based on the results of a randomized, placebo-controlled, multicenter trial in 1195 patients with mCRPC previously treated with docetaxel-containing regimens. Patients were randomly allocated (2:1) to receive either abiraterone acetate orally at a dose of 1000 mg once daily (N=797) or placebo once daily (N=398). Patients in both arms (abiraterone acetate and placebo) received prednisone 5 mg orally twice daily. Treatment continued until disease progression (defined as a 25% increase in PSA over the patient’s baseline/nadir together with protocol-defined radiographic progression and symptomatic or clinical progression), unacceptable toxicity, initiation of new treatment, or withdrawal. Patients with prior ketoconazole treatment for prostate cancer and a history of adrenal gland or pituitary disorders were excluded.
A pre-specified interim overall survival (OS) analysis was performed when 552 events had occurred. This analysis demonstrated a statistically significant improvement in OS in patients receiving abiraterone acetate compared to those on the placebo-containing arm (HR=0.646; 95% CI: 0.543, 0.768; p &lt; 0.0001). The median OS was 14.8 versus 10.9 months in the abiraterone and placebo arm, respectively. An updated OS analysis, conducted after 775 events, demonstrated a median OS of 15.8 versus 11.2 months in the abiraterone acetate and placebo-containing arms, respectively (HR=0.740; 95% CI: 0.638, 0.859).
The most common adverse reactions (&gt; 5%) were joint swelling or discomfort, hypokalemia, edema, muscle discomfort, hot flush, diarrhea, urinary tract infection, cough, hypertension, arrhythmia, urinary frequency, nocturia, dyspepsia and upper respiratory tract infection. The most common adverse drug reactions resulting in drug discontinuation were increased aspartate aminotransferase and/or alanine aminotransferase, urosepsis and cardiac failure (each in &lt; 1% of patients taking abiraterone).
The most common electrolyte imbalances in patients receiving abiraterone were hypokalemia (28%) and hypophosphatemia (24%). Following interruption of daily corticosteroids and/or with concurrent infection or stress, adrenocortical insufficiency (&lt;1%) has been reported in clinical trials in patients receiving abiraterone acetate at the recommended dose in combination with prednisone.
Abiraterone acetate Cmax and exposure were increased up to 17-fold and 10-fold higher, respectively, when a single dose was administered with a meal compared to a fasting state.
The recommended dose and schedule for abiraterone acetate is 1000 mg orally once daily in combination with prednisone 5 mg orally twice daily. Abiraterone acetate should be taken on an empty stomach. No food should be consumed for at least two hours before the dose of abiraterone acetate is taken and for at least one hour after the abiraterone acetate dose.
Full prescribing information, including clinical trial information, safety, dosing, drug-drug interactions and contraindications is available at: http://www.accessdata.fda.gov/drugsatfda_docs/label/2011/202379lbl.pdf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t>
  </si>
  <si>
    <t xml:space="preserve">study_ 212</t>
  </si>
  <si>
    <t xml:space="preserve">FDA granted approval for trastuzumab (Herceptin), Genentech, Inc.), in combination with cisplatin and a fluoropyrimidine (capecitabine or 5â€‘fluorouracil), for the treatment of patients with HER2 overexpressing metastatic gastric or gastroesophageal (GE) junction adenocarcinoma, who have not received prior treatment for metastatic disease. More Information69. (October 20, 2010)</t>
  </si>
  <si>
    <t xml:space="preserve">https://wayback.archive-it.org/7993/20170111231728/http://www.fda.gov/AboutFDA/CentersOffices/OfficeofMedicalProductsandTobacco/CDER/ucm230418.htm</t>
  </si>
  <si>
    <t xml:space="preserve">FDA Appoves Trastuzumab (Herceptin)
Share
Tweet
Linkedin
Pin it
More sharing options
Linkedin
Pin it
Email
Print
On October 20, 2010, the U. S. Food and Drug Administration granted approval for trastuzumab (Herceptin), Genentech, Inc.), in combination with cisplatin and a fluoropyrimidine (capecitabine or 5-fluorouracil), for the treatment of patients with HER2 overexpressing metastatic gastric or gastroesophageal (GE) junction adenocarcinoma, who have not received prior treatment for metastatic disease.
The approval is based on a significant improvement in median overall survival (OS) of 2.5 months with trastuzumab plus chemotherapy treatment compared to chemotherapy alone demonstrated in a single, international, multicenter, open-label, randomized clinical trial, BO18255 (ToGA trial). A total of 594 patients with locally advanced or metastatic HER2 overexpressing adenocarcinoma of the stomach or GE junction were randomized (1:1) to receive either trastuzumab plus chemotherapy or chemotherapy alone
Trastuzumab was administered at an initial dose of 8 mg/kg intravenously (IV) followed by 6 mg/kg every three weeks until disease progression or intolerable toxicity. The chemotherapy regimen included cisplatin 80 mg/m2 IV day 1 every three weeks for six cycles and a fluoropyrimidine (either capecitabine 1000 mg/m2 orally twice daily for fourteen days or 5-fluorouracil 800 mg/m2 /day continuous intravenous infusion (CIV) days 1-5 every three weeks for six cycles.) All tumors were confirmed to be HER2 gene amplified by FISH or protein overexpressing (IHC 3+) using validated assays performed at a central laboratory.
Among the 594 patients, 82% had primary gastric cancer, 18% had primary GE junction adenocarcinoma; 97% had metastatic disease. The median age was 60 years (range 2183) and 76% were male. Asians comprised 53% of the study population, Caucasians 38%; and Hispanics 5%. Nearly all patients (95%) had tumors with HER2 gene amplification by FISH. With HER2 IHC tumor staining 47% of tumors stained 3+, 30% were 2+, and 22% were 0 or 1+. Approximately 91% of patients had an ECOG PS &lt;1. Prior therapies included gastrectomy (23%), prior neoadjuvant and/or adjuvant therapy (7%) and prior radiotherapy (2%.)
The trial was closed after the second interim analysis when 167 deaths had occurred on the trastuzumab arm and 184 deaths on the control arm. In the final OS analysis, the median OS was 13.5 months (95% CI: 11.7, 15.7) and 11.0 months (95% CI: 9.4, 12.5) in the trastuzumab and control arms, respectively. The hazard ratio (HR) was 0.73 [(95% CI: 0.60, 0.91); p-value, two sided = 0.0038 (nominal significance level of 0.0193)] in favor of the trastuzumab arm.
An updated OS analysis (227 and 221deaths in the trastuzumab and control arms, respectively) demonstrated median OS of 13.1 (95% CI: 11.9, 15.1 mos.) and 11.7 months (95% CI: 10.3, 13.0) in the trastuzumab and control arms, respectively (HR 0.8, 95% CI 0.67, 0.97.) Exploratory OS analyses in subgroups defined by protein expression (IHC testing) suggest that trastuzumab was most effective in prolonging survival in the 294 patient subgroup with HER2 IHC 3+ tumors (HR 0.66, 95% CI 0.50, 0.87) and less effective in the 160 patient subgroup with IHC 2 + tumors (HR 0.78, 95% CI 0.55, 1.10). No trastuzumab treatment effect was apparent in the 133-patient subgroup with HER2 gene amplified, ICH 0 or 1+ tumors (HR 1.33, 95% CI 0.92, 1.92).
The most common adverse reactions (&lt; 10%) associated with trastuzumab were neutropenia, diarrhea, fatigue, anemia, stomatitis, weight loss, fever, thrombocytopenia, mucosal inflammation, nasopharyngitis, and dysgeusia. The most common grade 3 and 4 adverse reactions (&gt;5%) related to trastuzumab were neutropenia (35%), anemia (12%), diarrhea (9%), nausea (8%), anorexia (7%), and vomiting (6%). About 37% of patients receiving trastuzumab plus chemotherapy had infusion-related reactions. No grade 4 infusion reactions or deaths related to infusion reactions were reported. Cardiac adverse reactions occurred at the same incidence on both study arms. The incidence of cardiac failure was &lt; 1%. Over 90% of the deaths in both arms were due to disease progression or disease-related complications. The most common adverse reactions resulting in treatment discontinuation in the trastuzumab arm were infection, diarrhea, and febrile neutropenia.
HER2 overexpression and gene amplification should be determined using FDA-approved tests with an indication for the specific tumor type being tested. Interpretation of the test results may be affected by differences in tumor histopathology (breast, gastric, or GE junction cancer). Limitations in assay precision make it inadvisable to rely on a single method to rule out potential Herceptin benefit.
Full prescribing information, including clinical trial information, safety, dosing, drug-drug interactions and contraindications is available at:
http://www.accessdata.fda.gov/drugsatfda_docs/label/2010/103792s5250lbl.pdf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t>
  </si>
  <si>
    <t xml:space="preserve">study_ 213</t>
  </si>
  <si>
    <t xml:space="preserve">NCT01041404</t>
  </si>
  <si>
    <t xml:space="preserve">BO18255; TOGA TRIAL</t>
  </si>
  <si>
    <t xml:space="preserve">BO18255;TOGA</t>
  </si>
  <si>
    <t xml:space="preserve">FDA approved cabazitaxel (Jevtana Injection, sanofi-aventis) for use in combination with prednisone for treatment of patients with metastatic hormone-refractory prostate cancer (mHRPC) previously treated with a docetaxel-containing regimen. More Information73 (June 17, 2010)</t>
  </si>
  <si>
    <t xml:space="preserve">https://wayback.archive-it.org/7993/20170111231728/http://www.fda.gov/AboutFDA/CentersOffices/OfficeofMedicalProductsandTobacco/CDER/ucm216214.htm</t>
  </si>
  <si>
    <t xml:space="preserve">Cabazitaxel
Share
Tweet
Linkedin
Pin it
More sharing options
Linkedin
Pin it
Email
Print
On June 17, 2010, the U.S. Food and Drug Administration (FDA) approved cabazitaxel (Jevtana Injection, sanofi-aventis) for use in combination with prednisone for treatment of patients with metastatic hormone-refractory prostate cancer (mHRPC) previously treated with a docetaxel-containing regimen. 
The approval is based primarily on the results of a randomized, open-label, international trial of 755 patients with mHRPC previously treated with docetaxel-containing regimens. Patients were randomized to receive either cabazitaxel 25 mg/m2 intravenously every three weeks in combination with prednisone 10 mg/day or mitoxantrone 12 mg/m2 intravenously every three weeks in combination with prednisone 10 mg/day. Patients were treated until disease progression, death, unacceptable toxicity, or completion of 10 cycles of therapy. 
Median survivals were 15.1 and 12.7 months for cabazitaxel-treated and mitoxantrone-treated patients, respectively [HR 0.70 (95% CI 0.59-0.83), p&lt;0.0001.] Investigator-assessed response rates using RECIST criteria was 14.4 and 4.4% for cabazitaxel-treated and mitoxantrone-treated patients, respectively, p=0.0005. No complete responses were observed on either arm.
The most common (≥10%) grade 1-4 adverse reactions included neutropenia, anemia, leukopenia, thrombocytopenia, diarrhea, fatigue, nausea, vomiting, constipation, asthenia, abdominal pain, hematuria, back pain, anorexia, peripheral neuropathy, pyrexia, dyspnea, dysgeusia, cough, arthralgia and alopecia. The most common (≥5%) grade 3-4 adverse reactions were neutropenia, leukopenia, anemia, febrile neutropenia, diarrhea, fatigue and asthenia.
Deaths due to causes other than disease progression within 30 days of the last dose were reported in 18 (5%) cabazitaxel-treated patients and 3 (&lt;1%) mitoxantrone-treated patients. The most common fatal adverse reactions in cabazitaxel-treated patients were infections (n=5), and renal failure (n=4). One death was due to diarrhea-induced dehydration and electrolyte imbalance.
G-CSF may be administered to reduce the risks of neutropenic complications associated with cabazitaxel use. Primary prophylaxis with G-CSF should be considered in patients with high-risk clinical features including age &gt; 65 years, poor performance status, previous episodes of febrile neutropenia, extensive prior radiation ports, poor nutritional status, or other serious comorbidities. Therapeutic use of G-CSF and secondary prophylaxis should be considered in patients at an increased risk for neutropenia complications.
Because of the risk of severe hypersensitivity, patients should be premedicated with an antihistamine, a corticosteroid and an H2 antagonist. In addition, antiemetic prophylaxis is recommended.
Full prescribing information, including clinical trial information, safety, dosing, drug-drug interactions and contraindications is available at: http://www.accessdata.fda.gov/drugsatfda_docs/label/2010/201023lbl.pdf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t>
  </si>
  <si>
    <t xml:space="preserve">study_ 214</t>
  </si>
  <si>
    <t xml:space="preserve">FDA granted approval to rituximab (Rituxan, Genentech), in combination with fludarabine and cyclophosphamide (FC), for the treatment of previously untreated and previously treated patients with chronic lymphocytic leukemia (CLL). More Information77 (February 18, 2010)</t>
  </si>
  <si>
    <t xml:space="preserve">https://wayback.archive-it.org/7993/20170111231728/http://www.fda.gov/AboutFDA/CentersOffices/OfficeofMedicalProductsandTobacco/CDER/ucm201392.htm</t>
  </si>
  <si>
    <t xml:space="preserve">Rituximab
Share
Tweet
Linkedin
Pin it
More sharing options
Linkedin
Pin it
Email
Print
On February 18, 2010, the U.S. Food and Drug Administration granted approval to rituximab (Rituxan, Genentech), in combination with fludarabine and cyclophosphamide (FC), for the treatment of previously untreated and previously treated patients with chronic lymphocytic leukemia (CLL). The approval was based on a clinically meaningful and statistically significant increase in progression-free survival (PFS) observed in two randomized multicenter open-label trials in patients randomized to receive either FC or the combination of FC with rituximab (R-FC).
In both studies patients received intravenous (i.v.) fludarabine 25 mg/m2/day and cyclophosphamide 250 mg/m2/day, daily for 3 days, repeated every 28 days for a total of 6 cycles. Rituximab 375 mg/m2 by i.v. infusion was administered on day 1 of the first cycle (the day before chemotherapy) and 500 mg/m2 i.v. on day 1 of subsequent cycles (on the same day as chemotherapy). The primary efficacy outcome was PFS, defined as the time from randomization to either disease progression, relapse, or death. Secondary endpoints included overall survival (OS) and overall response rates determined by the 1996 National Cancer Institute-sponsored Working Group Guidelines. 
Study ML17102, also known as CLL8, was conducted by the German CLL Study Group and enrolled treatment-naïve patients. A total of 408 patients were randomized to the R-FC arm and 409 patients to the FC arm. The median age was 61 years (30% were ≥ 65 years old), 74% were male, 31% were Binet stage C, 45% had B symptoms, and more than 99% had ECOG performance status (PS) 0-1.
The primary efficacy endpoint was PFS as determined by the investigators. The median PFS were 39.8 months and 31.5 months in the R-FC and FC arms, respectively [HR 0.56 (95% CI: 0.43, 0.71), p &lt;0.01, log rank test]. Overall response rates were 86% (95% CI 82, 89) in the R-FC arm and 73% (95% CI 68, 77) in the FC arm.
Study BO17072, also known as REACH, conducted by Roche and Biogen Idec, enrolled 552 patients with relapsed or refractory CLL following prior systemic therapy. Patients were randomized to receive either R-FC (n=276) or FC (n=276). The median age was 62 years old (44% ≥65 years old), and 67% were male. Eighty-two percent received a prior alkylator-containing regimen and 18% received a fludarabine-containing regimen. “B” symptoms were present in 28% and 100% were ECOG PS 0-1.
The median PFS was 26.7 versus 21.7 months for the R-FC and FC arms, respectively, as determined by an independent review committee [HR 0.76 (95% CI: 0.60, 0.96), p= 0.022, log-rank test]. Overall response rates were 54% (95% CI: 48, 60) in the R-FC arm and 45% (95% CI: 37, 51) in the FC arm. 
Too few events occurred at the time of regulatory submission to conduct a meaningful analysis of OS in either study. Follow-up of patients for OS is ongoing. 
Across both studies, 100 patients who received R-FC and 89 patients who received FC were ≥70 years old. The results of exploratory analyses in this elderly population did not suggest a treatment benefit for the addition of Rituxan to FC in either the previously untreated [HR 1.17 (95% CI: 0.51, 2.66)] or previously treated settings [HR 1.22 (95% CI: 0.73, 2.04)].
The safety of rituximab when combined with FC was assessed in 676 patients who received the R-FC regimen. In both studies, 71% received 6 cycles and 90% received at least 3 cycles of Rituxan-based therapy. Grade 3-4 infusion reactions occurred in 7-9% of R-FC treated patients. The following Grade 3-4 adverse events were more frequently observed in the R-FC arm compared to FC arm alone: neutropenia, febrile neutropenia, leukopenia thrombocytopenia, hypotension, hepatitis B, and pancytopenia.
Rituxan is approved as a single agent for the treatment of relapsed or refractory low-grade or follicular CD-20 positive non-Hodgkin’s lymphoma (NHL) and for the treatment of patients with non-progressing low-grade CD-20 positive NHL following first-line CVP chemotherapy, or in conduction with CVP for first-line treatment of previously untreated CD20, B-cell follicular NHL and in combination with CHOP or other anthracycline-based chemotherapy regimens for the treatment of previously untreated diffuse, large B-cell CD20 positive NHL.
Serious adverse reactions of Rituxan include fatal infusion reactions, tumor lysis syndrome, severe mucocutaneous reactions, and progressive multifocal leukoencephalopathy (PML). Adverse reactions occurring in more than 25% of Rituxan-treatment patients with lymphoid malignancies are infusion reactions, fever, lymphopenia, chills, infection, and asthenia.
Full prescribing information, including clinical trial information, safety, dosing, drug-drug interactions and contraindications is available at: http://www.accessdata.fda.gov/drugsatfda_docs/label/2010/103705s5311lbl.pdf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t>
  </si>
  <si>
    <t xml:space="preserve">study_ 215</t>
  </si>
  <si>
    <t xml:space="preserve">NCT00281918;NCT00090051</t>
  </si>
  <si>
    <t xml:space="preserve">ML17102; CLL8; BO17072; REACH</t>
  </si>
  <si>
    <t xml:space="preserve">ML17102;BO17072</t>
  </si>
  <si>
    <t xml:space="preserve">FDA granted accelerated approval to Tykerb (lapatinib) tablets for use in combination with letrozole tablets for the treatment of postmenopausal women with hormone receptor positive metastatic breast cancer that overexpresses the HER2 receptor for whom hormonal therapy is indicated. More Information79 (January 29, 2010)</t>
  </si>
  <si>
    <t xml:space="preserve">https://wayback.archive-it.org/7993/20170111231728/http://www.fda.gov/AboutFDA/CentersOffices/OfficeofMedicalProductsandTobacco/CDER/ucm203522.htm</t>
  </si>
  <si>
    <t xml:space="preserve">Tykerb
Share
Tweet
Linkedin
Pin it
More sharing options
Linkedin
Pin it
Email
Print
On January 29, 2010, the U.S. Food and Drug Administration granted accelerated approval to lapatinib tablets (Tykerb, GlaxoSmithKline) for use in combination with letrozole (Femara, Novartis Pharmaceuticals Corp.) for the treatment of postmenopausal women with hormone receptor positive metastatic breast cancer that overexpresses the HER2 receptor and for whom hormonal therapy is indicated. Lapatinib, in combination with an aromatase inhibitor, has not been compared to a trastuzumab-containing chemotherapy regimen for the treatment of metastatic breast cancer. The approval was based on a clinically meaningful increase in progression-free survival (PFS) observed in a single trial (EGF30008). As a condition of accelerated approval, subsequent randomized trials are required to verify and describe the clinical benefit of lapatinib in patients with metastatic breast cancer who have received prior treatment with trastuzumab.
EGF30008 was multinational, randomized, placebo-controlled trial of lapatinib plus letrozole versus placebo plus letrozole in patients with hormone receptor-positive metastatic breast cancer who had not received prior therapy for metastatic disease. Patients were randomly assigned to receive lapatinib (1,500 mg once daily) plus letrozole (2.5 mg once daily) or to placebo plus letrozole (2.5 mg once daily). There were 219 patients (17%) who were HER2-positive, 952 (74%) patients who were HER2-negative, and 115 (9%) patients did not have their HER2-receptor status confirmed.
Accelerated approval was based on the results from the group of postmenopausal women with metastatic breast cancer that overexpressed the HER2 receptor. The primary efficacy endpoint was PFS, defined as the time interval between randomization date and the date of either first documented disease progression or death due to any cause. The lapatinib plus letrozole combination had a median PFS of 35.4 weeks compared to 13.0 weeks for the placebo plus letrozole arm (HR = 0.71, p = 0.019). The overall survival data are not mature at this time.
Safety data was evaluated in 1278 postmenopausal women with hormone receptor-positive metastatic breast cancer. The safety profile of lapatinib in this trial population was consistent with previous safety data. The most common adverse reactions (≥10%) in the lapatinib plus letrozole arm were diarrhea, rash, nausea, and fatigue. Elevated liver enzymes and bilirubin were reported in 53% and 22% of the patients receiving lapatinib, respectively. Among 654 patients who received the lapatinib plus letrozole treatment, 26 patients experienced Grade 1 or 2, and 6 patients experienced Grade 3 or 4 decreases in left ventricular ejection fraction.
Full prescribing information, including clinical trial information, safety, dosing, drug-drug interactions and contraindications is available at http://www.accessdata.fda.gov/drugsatfda_docs/label/2010/022059s007lbl.pdf</t>
  </si>
  <si>
    <t xml:space="preserve">study_ 216</t>
  </si>
  <si>
    <t xml:space="preserve">NCT00073528</t>
  </si>
  <si>
    <t xml:space="preserve">EGF30008;NONE</t>
  </si>
  <si>
    <t xml:space="preserve">EGF30008</t>
  </si>
  <si>
    <t xml:space="preserve">FDA granted approval for the use of bevacizumab (Avastin, Genentech, Inc.) in combination with interferon alfa for the treatment of patients with metastatic renal cell carcinoma. More Information (July 31, 2009)</t>
  </si>
  <si>
    <t xml:space="preserve">https://wayback.archive-it.org/7993/20170111231729/http%3A//www.fda.gov/AboutFDA/CentersOffices/OfficeofMedicalProductsandTobacco/CDER/ucm176025.htm</t>
  </si>
  <si>
    <t xml:space="preserve">Bevacizumab (Avastin) in Combination with Interferon Alfa
Share
Tweet
Linkedin
Pin it
More sharing options
Linkedin
Pin it
Email
Print
On July 31, 2009 the U.S. Food and Drug Administration granted approval for the use of bevacizumab (Avastin, Genentech, Inc.) in combination with interferon alfa for the treatment of patients with metastatic renal cell carcinoma. The approval was based on results from the BO17705 trial which demonstrated a 5 month improvement in median progression-free survival (PFS) in bevacizumab-treated patients.
The BO17705 trial was a randomized, double-blind, placebo-controlled, multinational, clinical trial conducted in patients with metastatic renal cell carcinoma who had undergone nephrectomy. The study compared the combination of bevacizumab plus interferon alfa-2a to interferon alfa-2a plus placebo. This trial was conducted by Hoffmann-La-Roche in Europe, Asia, and Australia. The primary outcome measure of the trial, assessed by study investigators, was PFS. The determination of PFS by an independent review committee, blinded to treatment assignment, supported the investigators’ PFS assessment.
A total of 649 patients (327 bevacizumab plus interferon, 322 interferon plus placebo) were enrolled. The median PFS was 10.2 months for the bevacizumab plus interferon arm compared to 5.4 months for the interferon and placebo arm [hazard ratio (HR) 0.60 (95% CI: 0.49, 0.72) p &lt; 0.0001]. The independent review committee analysis of 569 patients with radiographs available for review yielded similar results [median PFS 10.4 versus 5.5 months, HR 0.57 (95% CI: 0.45, 0.72)].
The BO17705 trial did not demonstrate a statistically significant advantage in overall survival for bevacizumab plus interferon arm compared to interferon plus placebo treatment [HR 0.86 (95% CI: 0.72, 1.04), p= 0.13].
Additional support for the results of the BO17705 trial was provided by the published results of the 90206 trial, a randomized, open label, study of bevacizumab plus interferon alfa-2b compared to interferon alfa-2b alone in patients with metastatic renal cell carcinoma. The Cancer and Leukemia Group B conducted this trial in North America. A similar prolongation in PFS was reported in the 90206 trial with a median PFS of 8.4 versus 4.9 months for the bevacizumab-containing combination and the single agent interferon alfa-2b arms, respectively. An improvement in overall survival was not observed.
In the BO17705 trial, the combination of bevacizumab plus interferon alfa-2a resulted in a higher overall incidence and more severe toxicities than observed with interferon alfa-2a alone. 
Serious adverse events were reported in 31% of patients on the bevacizumab plus interferon arm and in 19% of patients on the interferon plus placebo arm. NCI CTCAE grade 3 and greater adverse events were reported in 63% versus 47% of patients on the bevacizumab- plus interferon and interferon plus placebo arms, respectively. Grade 3 and greater adverse events attributable to bevacizumab (≥ 2% greater incidence in the bevacizumab plus interferon arm compared to the interferon plus placebo arm) included bleeding, hypertension, proteinuria, and venous or arterial thrombosis. Two patients with grade 5 bleeding events (ruptured aneurysm and hemoptysis), two patients with hypertensive encephalopathy, and four patients with grade 4 pulmonary embolism were reported in the bevacizumab plus interferon arm.
The most common bevacizumab-related toxicities were bleeding/hemorrhage, hypertension, proteinuria and venous or arterial thromboembolic events. Among the 20% of patients with reports of proteinuria, the median onset of proteinuria was 5.6 months (range 15 days to 37 months) after initiation of bevacizumab. The median time-to-resolution was 6.1 months. Proteinuria did not resolve in 40% of patients after a median follow-up of 11.2 months. Bevacizumab was permanently discontinued in 30% of the patients who developed proteinuria.
Full prescribing information, including clinical trial information, safety, dosing, drug-drug interactions and contraindications is available at http://www.accessdata.fda.gov/drugsatfda_docs/label/2009/125085s0168lbl.pdf
 </t>
  </si>
  <si>
    <t xml:space="preserve">study_ 217</t>
  </si>
  <si>
    <t xml:space="preserve">NCT00738530;NCT00072046</t>
  </si>
  <si>
    <t xml:space="preserve">BO17705; 90206</t>
  </si>
  <si>
    <t xml:space="preserve">BO17705;90206</t>
  </si>
  <si>
    <t xml:space="preserve">FDA approved plerixafor, solution for subcutaneous injection, (Mozobil, Genzyme Corp.) for use in combination with granulocyte-colony stimulating factor (G-CSF) to mobilize hematopoietic stem cells to the peripheral blood for collection and subsequent autologous transplantation in patients with non-Hodgkin’s lymphoma (NHL) and multiple myeloma (MM). More Information (December 15, 2008) </t>
  </si>
  <si>
    <t xml:space="preserve">https://wayback.archive-it.org/7993/20170111231729/http%3A//www.fda.gov/AboutFDA/CentersOffices/OfficeofMedicalProductsandTobacco/CDER/ucm129212.htm</t>
  </si>
  <si>
    <t xml:space="preserve">Plerixafor
Share
Tweet
Linkedin
Pin it
More sharing options
Linkedin
Pin it
Email
Print
On December 15, 2008, the U. S. Food and Drug Administration approved plerixafor, solution for subcutaneous injection, (Mozobil, Genzyme Corp.) for use in combination with granulocyte-colony stimulating factor (G-CSF) to mobilize hematopoietic stem cells to the peripheral blood for collection and subsequent autologous transplantation in patients with non-Hodgkin’s lymphoma (NHL) and multiple myeloma (MM).
The efficacy and safety of plerixafor in combination with G-CSF in NHL and MM were evaluated in two placebo-controlled studies (Studies 1 and 2). Patients were randomized to receive either plerixafor 0.24 mg/kg or placebo each evening prior to apheresis. All patients received G-CSF 10 micrograms/kg daily for 4 days prior to the first dose of plerixafor or placebo and prior to apheresis. Results from 298 patients with NHL from study 1 and 302 patients with MM from study 2 were analyzed.
In Study 1, 59% of patients with NHL who were mobilized with plerixafor and G-CSF collected &gt; 5 X 106 CD34+ cells/kg from the peripheral blood in four or fewer apheresis sessions compared with 20% of patients who were mobilized with placebo and G-CSF (p &lt; 0.001). The median number of days to reach &gt; 5 x 106 CD34+ cells/kg was 3 days for the plerixafor group and not evaluable for the placebo group.
In Study 2, 72% of patients with MM who were mobilized with plerixafor and G-CSF collected &gt; 6 X 106 CD34+ cells/kg from the peripheral blood in two or fewer apheresis sessions compared with 34% of patients who were mobilized with placebo and G-CSF (p &lt;0.001). The median number of days to reach &gt; 6 x 106 CD34+ cells/kg was 1 day for the plerixafor group and 4 days for the placebo group.
Safety data for plerixafor in combination with G-CSF were obtained from 983 patients enrolled in 16 clinical studies (593 patients enrolled in randomized Studies 1 and 2 plus 410 patients enrolled in 14 additional non-randomized studies). Patients were primarily treated with plerixafor at daily doses of 0.24 mg/kg SC. Median exposure to plerixafor was 2 days (range 1 to 7 days). The most common adverse reactions (&gt; 10%) reported in patients who received plerixafor in conjunction with G-CSF that were more frequent than in patients who received placebo were diarrhea, nausea, fatigue, injection site reactions, headache, arthralgia, dizziness and vomiting. Prescribing physicians and patients should be aware of the potential for tumor cell mobilization in leukemia patients, increased circulating leukocytes and decreased platelet counts, splenic enlargement, and fetal harm when administered to pregnant women.
Full prescribing information, including clinical trial information, safety, dosing, drug-drug interactions and contraindications is available at Drugs@FDA 
Back to Top Back to Whatsnew
 PDF requires the free Adobe Acrobat Reader
Date created: December 19, 2008</t>
  </si>
  <si>
    <t xml:space="preserve">study_ 218</t>
  </si>
  <si>
    <t xml:space="preserve">STUDIES 1; STUDIES 2</t>
  </si>
  <si>
    <t xml:space="preserve">STUDY 1;STUDY 2</t>
  </si>
  <si>
    <t xml:space="preserve">Bevacizumab (Avastin) was granted accelerated approval for use in combination with paclitaxel for the treatment of patients who have not received chemotherapy for metastatic HER2 negative breast cancer. More information (Feb. 22)</t>
  </si>
  <si>
    <t xml:space="preserve">https://wayback.archive-it.org/7993/20170111231729/http%3A//www.fda.gov/AboutFDA/CentersOffices/OfficeofMedicalProductsandTobacco/CDER/ucm129230.htm</t>
  </si>
  <si>
    <t xml:space="preserve">Bevacizumab Granted Accelerated Approval
Share
Tweet
Linkedin
Pin it
More sharing options
Linkedin
Pin it
Email
Print
On February 22, 2008, the U.S. Food and Drug Administration granted accelerated approval for bevacizumab (Avastin, Genentech, Inc.) to be used in combination with paclitaxel for the treatment of patients who have not received chemotherapy for metastatic HER2 negative breast cancer. 
The approval was based on the demonstration of an improvement in progression-free survival (PFS) in patients receiving Avastin with paclitaxel compared to those receiving paclitaxel alone as a first-line treatment for metastatic breast cancer. No data are currently available that demonstrate an improvement in disease-related symptoms or increased overall survival with Avastin in breast cancer.
The efficacy and safety of Avastin as first-line treatment of patients with metastatic breast cancer was studied in a single, open-label, randomized, multicenter study (Study 7 or E2100). Patients who had not received chemotherapy for locally recurrent or metastatic breast cancer were randomized to receive either paclitaxel (N=354 patients) alone at 90 mg/m2 weekly for 3 doses with one week rest (28-day cycle) or in combination with Avastin 10 mg/kg every 14 days (N=368 patients). Patients with HER2-overexpressing breast cancer were not eligible unless they had received prior therapy with Herceptin.
The addition of Avastin to paclitaxel resulted in an improvement in PFS with no significant improvement in overall survival. The median PFS was 11.3 months (95% CI 10.5,13.3) and 5.8 months (95% CI 5.4, 8.2) months for the Avastin plus paclitaxel arms versus the paclitaxel alone, respectively (p&lt;0.0001, HR 0.48, 95% CI 0.39, 0.61) Partial response rates in patients with measurable disease were higher with Avastin plus paclitaxel: 48.9% versus 22.2% (p&lt;0.001). No complete responses were observed.
The efficacy and safety of Avastin as a second and third line treatment of patients with metastatic breast cancer were studied in a single open-label randomized study (Study 8 or AVF2119). Patients who had received prior anthracycline and taxane therapy in the adjuvant setting or for their metastatic breast cancer were randomized to receive either capecitabine alone or in combination with Avastin. The study enrolled 462 patients. The study failed to demonstrate a statistically significant effect on PFS or overall survival. The product labeling specifies that Avastin is not indicated for patients with breast cancer that has progressed following anthracycline and taxane chemotherapy administered for metastatic disease. 
Data collection in Trial 7 was limited to NCI-CTC grade 3-5 non-hematologic and Grade 4-5 hematologic adverse events. A 20% increase in grade 3-5 adverse events was observed in the Avastin plus paclitaxel arm compared to paclitaxel alone. Severe and life-threatening adverse events occurring more frequently on the Avastin-containing arm included sensory neuropathy, hypertension, fatigue, infection without neutopenia, neutropenia, vomiting, diarrhea, bone pain, headache, proteinuria, and cerebrovascular ischemia. Fatal adverse reactions occurred in 6/363 (1.7%) of patients who received paclitaxel plus Avastin. Causes of death were gastrointestinal perforation (2 patients), myocardial infarction (2 patients), diarrhea/abdominal pain/weakness/hypotension (2 patients).
The most serious, and sometimes fatal, Avastin adverse events have been previously described in product labeling and include gastrointestinal perforation, wound healing complications, hemorrhage, arterial thromboembolic events, hypertensive crisis, nephrotic syndrome, congestive heart failure, and neutropenic sepsis. The most common Avastin adverse events previously described in product labeling include asthenia, pain, abdominal pain, headache, hypertension, diarrhea, nausea, vomiting, anorexia, stomatitis, constipation, upper respiratory infection, epistaxis, dyspnea, exfoliative dermatitis, and proteinuria.
Full prescribing information, including clinical trial information, safety, dosing, drug-drug interactions and contraindications, is available in Drugs@FDA 
Back to Top Back to What's New
 PDF requires the free Adobe Acrobat Reader
Date created: March 13, 2008</t>
  </si>
  <si>
    <t xml:space="preserve">study_ 219</t>
  </si>
  <si>
    <t xml:space="preserve">NCT00028990;NCT00109239</t>
  </si>
  <si>
    <t xml:space="preserve">E2100;AVF2119</t>
  </si>
  <si>
    <t xml:space="preserve">STUDY 7;STUDY 8</t>
  </si>
  <si>
    <t xml:space="preserve">Doxorubicin HCl liposome injection (Doxil) was approved for use in combination with bortezomib in patients with multiple myeloma. More information (May 17) </t>
  </si>
  <si>
    <t xml:space="preserve">https://wayback.archive-it.org/7993/20170111231729/http%3A//www.fda.gov/AboutFDA/CentersOffices/OfficeofMedicalProductsandTobacco/CDER/ucm129249.htm</t>
  </si>
  <si>
    <t xml:space="preserve">FDA Approves Doxorubicin HCl
Share
Tweet
Linkedin
Pin it
More sharing options
Linkedin
Pin it
Email
Print
On May 17, 2007, the U.S. Food and Drug Administration granted approval to doxorubicin HCl liposome injection (Doxil, Alza Corporation) for use in combination with bortezomib in patients with multiple myeloma who have not previously received bortezomib and have received at least one prior therapy.Efficacy and safety were demonstrated in a randomized, multi-center, international study comparing the combination of Doxil plus bortezomib versus bortezomib alone in patients with multiple myeloma who have not previously received bortezomib and had received at least one prior therapy. Doxil, 30 mg/m2, was administered as a one-hour intravenous infusion on day 4 following bortezomib, 1.3 mg/m2, administered on days 1, 4, 8 and 11 in both treatment arms every twenty-one days. Data were evaluated from 646 randomized patients. The primary endpoint of time-to-progression (TTP-defined as time from randomization to progression or to death due to progression) was evaluated in a pre-specified interim analysis. Median TTP was 9.3 months in the combination arm compared to 6.5 months with bortezomib alone (HR=0.55; 95% CI [0.43, 0.71]; p &lt; 0.0001). Survival data are immature at this time.Safety data were evaluated from 636 treated patients (318 in each treatment arm). Grade 3/4 reactions reported in greater than or equal to 10% of patients and in a greater proportion of patients treated with the combination of Doxil and bortezomib included neutropenia and thrombocytopenia. Additional all-grade reactions reported in greater frequency with the combination arm included anemia, fatigue, pyrexia, nausea, vomiting, diarrhea, mucositis/stomatitis and hand foot syndrome.The incidence of heart failure events was similar in the two treatment arms (3% in both groups). Left ventricular ejection fraction decreases were observed in 13% of patients in the combination arm and in 8% of patients treated with bortezomib alone.The initial rate of infusion of Doxil should be 1 mg/min to help minimize the risk of infusion reactions.Full prescribing information including clinical trial information, safety, dosing, drug-drug interactions and contraindications is available at Drugs @FDA.Healthcare professionals should report all serious adverse events suspected to be associated with the use of any medicine and device to FDA’s MedWatch Reporting Program via an online form, by faxing (1-800-FDA-0178) or mailing the postage-paid Form 3500 available at MedWatch, or by telephone (1-800-FDA-1088). 
Back to Top Back to OODP What's New
Created May 18, 2007</t>
  </si>
  <si>
    <t xml:space="preserve">study_ 220</t>
  </si>
  <si>
    <t xml:space="preserve">On October 17, FDA approved docetaxel (Taxotere) for use in combination with cisplatin and fluorouracil for the induction treatment of patients with inoperable, locally advanced squamous cell carcinoma of the head and neck. More information </t>
  </si>
  <si>
    <t xml:space="preserve">https://wayback.archive-it.org/7993/20170111231729/http%3A//www.fda.gov/AboutFDA/CentersOffices/OfficeofMedicalProductsandTobacco/CDER/ucm094945.htm</t>
  </si>
  <si>
    <t xml:space="preserve">FDA approves Taxotere for use in combination with cisplatin and fluorouracil for the induction treatment of patients with inoperable, locally advanced squamous cell carcinoma of the head and neck
Share
Tweet
Linkedin
Pin it
More sharing options
Linkedin
Pin it
Email
Print
On October 17, 2006, the U. S. Food and Drug Administration (FDA) approved docetaxel (Taxotere Injection Concentrate, sanofi-aventis) for use in combination with cisplatin and fluorouracil for the induction treatment of patients with inoperable, locally advanced squamous cell carcinoma of the head and neck (SCCHN).
The safety and efficacy of Taxotere as induction chemotherapy for patients with SCCHN were evaluated in a multicenter, open-label, randomized trial. In this study 358 patients with previously untreated inoperable, locally advanced SCCHN, and WHO performance status 0 or 1, received either Taxotere 75 mg/m2 followed by cisplatin 75 mg/m2 on Day 1, followed by 5-fluorouracil 750 mg/m2/day as a continuous infusion on Days 1-5 (TPF) or cisplatin 100 mg/m2 on Day 1, followed by 5-fluorouracil 1000 mg/m2/day as a continuous infusion on Days 1-5 (PF). These regimens were administered every three weeks for 4 cycles. Four to 7 weeks after chemotherapy, patients whose disease had not progressed received radiotherapy. Radiation was delivered either with a conventional or an accelerated/hyperfractionated regimen. Surgical resection was allowed following chemotherapy, before or after radiotherapy.
The trial’s primary endpoint was progression-free-survival (PFS) and was defined as time from randomization to disease progression or death from any cause, whichever occurred first. Median PFS was significantly longer in the TPF arm (11.4 months) than in the PF arm (8.3 months), (p= 0.0077) [hazard ratio 0.71 (0.56, 0.91)]. Median overall survival was significantly longer in the TPF arm (18.6 months) than in the PF arm (14.2 months), [hazard ratio 0.71 (0.56, 0.90)]. 
The most frequent adverse events on the TPF arm were neutropenia (93%), anemia (89%), alopecia (81%), stomatitis/esophagitis (55%), and nausea (47%). Grade 3 or 4 adverse events with a greater than 5% frequency in patients on the TPF arm were neutropenia (76%), alopecia (11%), infection (9%), anemia (9%), weight loss (7%), and thrombocytopenia (5%). Approximately 5% of the TPF arm patients had febrile neutropenia and 14% had neutropenic infection. Compared to patients receiving PF, patients receiving TPF had more alopecia, neutropenia, diarrhea, neurosensory abnormality, neutropenic infection, fluid retention, and altered taste or sense of smell.
For this SCCHN indication, the recommended Taxotere dose is 75 mg/m2 administered as a 1-hour intravenous infusion, followed by cisplatin 75 mg/m2 intravenously over 1 hour on Day 1, followed by fluorouracil 750 mg/m2/day given as a 24-hour intravenous continuous infusion Days 1-5. Treatment is repeated every 3 weeks for 4 cycles.
Full prescribing information, including clinical trial information, safety, dosing, drug-drug interactions and contraindications is available in Drugs@FDA
Healthcare professionals should report all serious adverse events suspected to be associated with the use of any medicine and device to FDA’s MedWatch Reporting System by phone at 1-800-FDA-1088, by facsimile 1-800-FDA-0178, by mail, or by using the Form 3500 
PDF requires the free Adobe Acrobat Reader</t>
  </si>
  <si>
    <t xml:space="preserve">study_ 221</t>
  </si>
  <si>
    <t xml:space="preserve">TPF;PF</t>
  </si>
  <si>
    <t xml:space="preserve">On October 11, FDA approved bevacizumab (Avastin) as a first-line treatment of patients with locally advanced, metastatic or recurrent non-small cell lung cancer in combination with platinum-based chemotherapy. More information </t>
  </si>
  <si>
    <t xml:space="preserve">https://wayback.archive-it.org/7993/20170111231729/http%3A//www.fda.gov/AboutFDA/CentersOffices/OfficeofMedicalProductsandTobacco/CDER/ucm094950.htm</t>
  </si>
  <si>
    <t xml:space="preserve">Study AVF0757g not available in clinicaltrials.gov</t>
  </si>
  <si>
    <t xml:space="preserve">FDA approves bevacizumab (Avastin) as a first-line treatment of patients with locally advanced, metastatic or recurrent non-small cell lung cancer in combination with platinum-based chemotherapy
Share
Tweet
Linkedin
Pin it
More sharing options
Linkedin
Pin it
Email
Print
On October 11, 2006, the U.S. Food and Drug Administration granted approval for a labeling extension for bevacizumab (Avastin, Genentech, Inc.), administered in combination with carboplatin and paclitaxel, for the initial systemic treatment of patients with unresectable, locally advanced, recurrent, or metastatic, non-squamous, non-small cell lung cancer. This recommendation is based on the demonstration of a statistically significant improvement in overall survival (OS) in patients receiving Avastin with carboplatin and paclitaxel compared to those receiving carboplatin and paclitaxel alone.
The primary trial (E4599) supporting this approval was a randomized, active controlled, open label, multi-center clinical trial evaluating Avastin plus carboplatin and paclitaxel (n=434) versus carboplatin and paclitaxel alone (n=444). Patients with squamous histology, mixed cell tumors with predominant squamous cell histology, central nervous system metastases, gross hemoptysis (≥1/2 tsp red blood), or unstable angina and those receiving therapeutic anticoagulation were excluded from the trial. Patients with squamous cell histology were excluded based on four patients with life-threatening or fatal hemoptysis among 13 patients with squamous cell histology enrolled in a randomized, active-control, Phase 2 study (AVF0757g) who received chemotherapy with Avastin.
Among the 878 randomized patients, the median age was 63, 46% were female, no patients had received prior chemotherapy, 76% had Stage IV disease, 12% had Stage IIIB disease with malignant pleural effusion, 11% had recurrent disease, and 40% had an ECOG performance status of 0.
OS, the primary endpoint, was significantly longer in patients receiving Avastin in combination with paclitaxel and carboplatin as compared to those receiving paclitaxel and carboplatin alone (median OS 12.3 vs 10.3 mos; hazard ratio 0.80, p=0.013 stratified log rank test). Although a consistent effect was observed across most subgroups, in an exploratory analysis, evidence of a survival benefit was not observed in women. (HR 0.99; 95% CI 0.79, 1.25).
In E4599, data collection was limited to NCI-CTC grade 3-5 adverse events. Severe and life-threatening adverse events occurring more frequently in patients receiving Avastin and chemotherapy were neutropenia (27% vs 17%), fatigue (16% vs 13%), hypertension (8% vs 0.7%), infection without neutropenia (7% vs 3%), thrombosis/embolism (5% vs 3%), pneumonitis or pulmonary infiltrate (5% vs 3%), infection with grade 3 or 4 neutropenia (5% vs 2%), febrile neutropenia (5% vs 2%), hyponatremia (4% vs 1%), proteinuria (3% vs 0), and headache (3% vs 0.5%). Fatal, treatment-related adverse events in patients receiving Avastin were pulmonary hemorrhage (2.3% vs. 0.5%), gastrointestinal hemorrhage, CNS infarction, gastrointestinal perforation, myocardial infarction, and neutropenic sepsis.
The most serious, and sometimes fatal, Avastin toxicities are gastrointestinal perforation, wound healing complications, hemorrhage, arterial thromboembolic events, hypertensive crisis, nephrotic syndrome, congestive heart failure, and neutropenic sepsis. The most common adverse events in patients receiving Avastin are asthenia, pain, abdominal pain, headache, hypertension, diarrhea, nausea, vomiting, anorexia, stomatitis, constipation, upper respiratory infection, epistaxis, dyspnea, exfoliative dermatitis, and proteinuria.
Full prescribing information, including clinical trial information, safety, dosing, drug-drug interactions and contraindications is available in Drugs@FDA. 
Healthcare professionals should report all serious adverse events suspected to be associated with the use of any medicine and device to FDA’s MedWatch Reporting System by phone at 1-800-FDA-1088, by facsimile 1-800-FDA-0178, by mail, or by using the Form 3500 </t>
  </si>
  <si>
    <t xml:space="preserve">study_ 222</t>
  </si>
  <si>
    <t xml:space="preserve">NCT00021060</t>
  </si>
  <si>
    <t xml:space="preserve">E4599; AVF0757G</t>
  </si>
  <si>
    <t xml:space="preserve">E4599;AVF0757G</t>
  </si>
  <si>
    <t xml:space="preserve">On July 14, FDA approved gemcitabine (Gemzar) in combination with carboplatin for the treatment of patients with advanced ovarian cancer that has relapsed at least 6 months after completion of platinum based therapy. More information </t>
  </si>
  <si>
    <t xml:space="preserve">https://wayback.archive-it.org/7993/20170111231729/http%3A//www.fda.gov/AboutFDA/CentersOffices/OfficeofMedicalProductsandTobacco/CDER/ucm095615.htm</t>
  </si>
  <si>
    <t xml:space="preserve">FDA approves gemcitabine (Gemzar, Eli Lilly and Company)
Share
Tweet
Linkedin
Pin it
More sharing options
Linkedin
Pin it
Email
Print
On July 14, 2006, FDA approved gemcitabine (Gemzar, Eli Lilly and Company) in combination with carboplatin for the treatment of patients with advanced ovarian cancer that has relapsed at least 6 months after completion of platinum based therapy.
The approval was based on a single multicenter, international, open-label, randomized trial enrolling 356 ovarian cancer patients whose disease had relapsed at least 6 months after first-line platinum-based therapy. Patients were randomized to receive either gemcitabine 1000 mg/m2 on days 1 and 8 of a 21 day cycle plus carboplatin (AUC 4) administered on day 1 of each cycle (GC) or to receive carboplatin (AUC 5) administered on day 1 of each 21 day cycle (C).
One hundred seventy-eight patients received GC and 178 patients received C. Patients were comparable for age, baseline ECOG performance status, platinum-free interval, and first-line therapy regimen.
GC treatment resulted in a significant improvement in progression-free survival (PFS). Median PFS was 8.6 months for GC-treated patients and 5.8 months for C-treated patients [log rank p=0.0038; hazard ratio 0.72 (95%, C.I. 0.57, 0.90)]. A significant improvement in the investigator-assessed overall response rate was demonstrated for the addition of gemcitabine to carboplatin (47% versus 31%, p=0.0016), but not in the independently reviewed response rate that excluded sonography or physical exam findings (46% versus 36%, p=0.11).
Approximately 75% of patients in each arm received post-study chemotherapy, including 13 of 120 patients on the C treatment arm for whom post-progression chemotherapy drugs were known and who received gemcitabine after progression. No significant difference in overall survival was observed. The median survival was 18.0 months for GC-treated patients compared to 17.3 months for those receiving single-agent carboplatin [p=0.8977, hazard ratio 0.98 (95% C.I. 0.78, 1.24)].
Hematologic toxicity was the most frequent adverse event. Grade 4 (CTC) neutropenia, anemia and thrombocytopenia occurred in 29%, 6% and 5%, respectively, of patients receiving GC compared to 1%, 2%, and 1% of those receiving single-agent carboplatin. Red blood cell and platelet transfusions were more common in GC-treated patients. Grade 3 neurosensory toxicity was observed in 1% receiving GC and 2% of C-treated patients.
Full prescribing information, including clinical trial information, safety, dosing, drug-drug interactions and contraindications is available in Drugs@FDA
Healthcare professionals should report all serious adverse events suspected to be associated with the use of any medicine and device to FDA’s MedWatch Reporting System by phone at 1-800-FDA-1088; by facsimile 1-800-FDA-0178 by mail using the Form 3500 
PDF requires the free Adobe Acrobat Reader</t>
  </si>
  <si>
    <t xml:space="preserve">study_ 223</t>
  </si>
  <si>
    <t xml:space="preserve">GC;C</t>
  </si>
  <si>
    <t xml:space="preserve">On June 29, FDA approved lenalidomide oral capsules (Revlimid), Celgene Corporation) for use in combination with dexamethasone in patients with multiple myeloma who have received one prior therapy. More information </t>
  </si>
  <si>
    <t xml:space="preserve">https://wayback.archive-it.org/7993/20170111231729/http%3A//www.fda.gov/AboutFDA/CentersOffices/OfficeofMedicalProductsandTobacco/CDER/ucm095626.htm</t>
  </si>
  <si>
    <t xml:space="preserve">FDA approves lenalidomide oral capsules (Revlimid) for use in combination with dexamethasone in patients with multiple myeloma
Share
Tweet
Linkedin
Pin it
More sharing options
Linkedin
Pin it
Email
Print
On June 29, 2006, the U.S. Food and Drug Administration granted approval to lenalidomide oral capsules (Revlimid, Celgene Corporation) for use in combination with dexamethasone in patients with multiple myeloma who have received one prior therapy. Revlimid is available under a special restricted distribution program, called RevAssist (described below).
Efficacy and safety were demonstrated in two randomized, double-blind, multi-center, multi-national, placebo-controlled studies comparing the combination of lenalidomide plus oral pulse dexamethasone versus dexamethasone alone in patients with multiple myeloma who had received at least one prior therapy. Revlimid (lenalidomide) was administered at a starting dose of 25 mg/day orally as a single 25 mg capsule on days 1‑21 of repeated 28-day cycles. Dexamethasone was administered orally at a dose of 40 mg/day on days 1‑4, 9‑12, and 17‑20 of each 28‑day cycle for the first 4 cycles and then 40 mg/day orally on days 1‑4 every 28 days in both treatment arms of both studies.
Data were evaluated from 692 patients in the two studies, 341 patients in Study 1 and 351 patients in Study 2. The primary endpoint of time-to-progression (TTP) was evaluated in a pre-specified interim analysis in each study. In Study 1, median TTP was 37.1 weeks in the lenalidomide/dexamethasone arm compared to 19.9 weeks with dexamethasone alone (HR=0.356; 95% CI [0.257, 0.494]; p &lt; 0.0001). In Study 2, median TTP was not reached in the lenalidomide/dexamethasone arm compared to 20 weeks in the dexamethasone alone arm (HR=0.392; 95% CI [0.274, 0.562]; p &lt; 0.0001).
Safety data were evaluated from 691 patients in the two studies. Grade 3 and 4 neutropenia, thrombocytopenia, leukopenia, lymphopenia, febrile neutropenia, deep vein thrombosis, pulmonary embolism, atrial fibrillation, constipation, diarrhea, fatigue, pneumonia, hypokalemia, hypocalcemia, muscle weakness, neuropathy and depression were reported in a greater proportion of patients treated with the combination of lenalidomide and dexamethasone compared to dexamethasone alone.
Thrombotic or thromboembolic events, including deep vein thrombosis, pulmonary embolism, thrombosis, and intracranial venous sinus thrombosis were reported more frequently in patients treated with the combination of lenalidomide plus dexamethasone (12%) compared to dexamethasone alone (4%) in the pooled analyses. Patients and physicians are advised to be observant for the signs and symptoms of thromboembolism. It is unknown whether prophylactic anticoagulation or antiplatelet therapy prescribed in conjunction with lenalidomide may reduce the potential for venous thromboembolic events. The decision to prescribe prophylactic measures should be considered carefully after an assessment of an individual patient's underlying risk factors.
Patients with renal impairment were excluded from the studies. Because lenalidomide is primarily excreted by the kidney, renal function should be carefully monitored.
Females should be advised to avoid pregnancy while taking lenalidomide. Lenalidomide is an analogue of thalidomide, a known human teratogen that causes severe life-threatening human birth defects. Reproductive toxicity studies are ongoing to assess lenalidomide's potential teratogenicity. To avoid fetal exposure, lenalidomide is only available under a special restricted distribution program called RevAssist. Under this program, only prescribers and pharmacists registered with the program can prescribe and dispense the product. Patients enrolled in the program to receive the drug must agree to comply with the requirements of the RevAssist program. 
Full prescribing information including clinical trial information, safety, dosing, drug-drug interactions and contraindications is available in Drugs@FDA
Healthcare professionals should report all serious adverse events suspected to be associated with the use of any medicine and device to FDA's MedWatch Reporting System by phone at 1-800-FDA-1088; by facsimile 1-800-FDA-0178 by mail using the Form 3500 
 </t>
  </si>
  <si>
    <t xml:space="preserve">study_ 224</t>
  </si>
  <si>
    <t xml:space="preserve">STUDY 1; STUDY 2</t>
  </si>
  <si>
    <t xml:space="preserve">On June 14, FDA approved topotecan hydrochloride (Hycamtin) in combination with cisplatin for the treatment of Stage IVB recurrent or persistent carcinoma of the cervix. More information </t>
  </si>
  <si>
    <t xml:space="preserve">https://wayback.archive-it.org/7993/20170111231729/http%3A//www.fda.gov/AboutFDA/CentersOffices/OfficeofMedicalProductsandTobacco/CDER/ucm095638.htm</t>
  </si>
  <si>
    <t xml:space="preserve">FDA approves topotecan hydrochloride (hycamtin) in combination with cisplatin for the treatment of Stage IVB recurrent or persistent carcinoma of the cervix
Share
Tweet
Linkedin
Pin it
More sharing options
Linkedin
Pin it
Email
Print
On June 14, 2006, the U.S. Food and Drug Administration approved topotecan hydrochloride (Hycamtin, GlaxoSmithKline) in combination with cisplatin for the treatment of Stage IVB recurrent or persistent carcinoma of the cervix that is not amenable to curative treatment with surgery and/or radiation therapy.
Topotecan was evaluated in women with stage IVB recurrent or persistent cervical cancer in one open-label, multi-center, cooperative group trial. Two hundred ninety-three patients were randomized to six cycles of topotecan 0.75 mg/m2 IV over 30 minutes for three consecutive days (Days 1-3) plus cisplatin 50 mg/m2 IV over 1 hour on Day 1 every 21 days or to cisplatin alone at the same dose and schedule. The primary endpoint was overall survival. The median survival was 9.4 months in the topotecan plus cisplatin group and 6.5 months in the cisplatin group (log-rank p = 0.033). The unadjusted hazard ratio was 0.76 (95% CI: 0.59, 0.98).
The most common toxicity on the combination arm was myelosuppression. Grade 3-4 hematologic adverse events occurring more commonly in the combination arm included neutropenia (74% vs. 2%), anemia (40% vs. 22%), thrombocytopenia (33% vs. 3%), and febrile neutropenia (18% vs. 8%). Grade 3-4 non-hematologic adverse events reported more commonly in the combination treatment arm included pain, nausea and vomiting, metabolic-laboratory, and hepatic.
Full prescribing information, including clinical trial information, safety, dosing, drug-drug interactions and contraindications is available at Drugs@FDA.
Healthcare professionals should report all serious adverse events suspected to be associated with the use of any medicine and device to FDA’s MedWatch Reporting System by phone at 1-800-FDA-1088; by facsimile 1-800-FDA-0178 by mail using the Form 3500 </t>
  </si>
  <si>
    <t xml:space="preserve">study_ 225</t>
  </si>
  <si>
    <t xml:space="preserve">On May 26, FDA granted accelerated approval for thalidomide (Thalomid) in combination with dexamethasone for the treatment of newly diagnosed multiple myeloma (MM) patients. More Information </t>
  </si>
  <si>
    <t xml:space="preserve">https://wayback.archive-it.org/7993/20170111231729/http%3A//www.fda.gov/AboutFDA/CentersOffices/OfficeofMedicalProductsandTobacco/CDER/ucm095651.htm</t>
  </si>
  <si>
    <t xml:space="preserve">FDA Approves Thalomid (thalidomide) to Treat Multiple Myeloma
Share
Tweet
Linkedin
Pin it
More sharing options
Linkedin
Pin it
Email
Print
On May 26, 2006, the U.S. Food and Drug Administration granted accelerated approval for thalidomide (Thalomid, Celgene Corporation) in combination with dexamethasone for the treatment of newly diagnosed multiple myeloma (MM) patients. Because of thalidomide’s known teratogenicity, the FDA is controlling Thalidomide’s marketing in the United States via the System for Thalidomide Education and Prescribing Safety (S.T.E.P.S.) program. This mandatory registry includes authorized patients, prescribers and pharmacies, extensive patient education regarding thalidomide’s safety, and is designed to prevent fetal exposure to thalidomide during pregnancy.
Thalidomide was evaluated in 207 patients with newly diagnosed MM in one open-label, multi-center, cooperative group trial. Patients were randomized to 4 cycles of thalidomide 200 mg daily plus dexamethasone (Thal/Dex) or to dexamethasone (Dex) alone. Response rates based on serum or urine paraprotein measurements were significantly higher in the combination arm than Dex alone (51.5% vs. 35.6%, respectively, p = 0.025). After completing treatment, patients were encouraged to undergo stem cell transplantation.
The incidence of grade 3 or 4 adverse events was 84.3% on the Thal/Dex arm and 73.5% on the Dex alone arm. The most common toxicities associated with thalidomide were somnolence, constipation, neuropathy, venous thromboembolism (VTE), and rash.
The incidence of VTE was significantly higher in the Thal/Dex arm than with Dex alone (22.5% vs. 4.9%, respectively, p = 0.002). Prophylactic antithrombotic therapy prescribed with thalidomide may reduce VTE; however, the decision to prescribe antithrombotic therapy should be made after a careful assessment of the patient’s underlying risk factors.
This approval is based on objective response rates and is approved under accelerated approval regulations (Subpart H) requiring further clinical trials to demonstrate thalidomide’s clinical benefit in the treatment of multiple myeloma.
Full prescribing information, including clinical trial information, safety, dosing, drug-drug interactions and contraindications is available at Drugs@FDA.
 </t>
  </si>
  <si>
    <t xml:space="preserve">study_ 226</t>
  </si>
  <si>
    <t xml:space="preserve">On February 10, FDA granted approval to rituximab (Rituxan) for use in the first‑line treatment of patients with diffuse large B-cell, CD20‑positive, non-Hodgkin's lymphoma in combination with CHOP or other anthracycline‑based chemotherapy regimens. More information </t>
  </si>
  <si>
    <t xml:space="preserve">https://wayback.archive-it.org/7993/20170111231729/http%3A//www.fda.gov/AboutFDA/CentersOffices/OfficeofMedicalProductsandTobacco/CDER/ucm095666.htm</t>
  </si>
  <si>
    <t xml:space="preserve">FDA approves rituximab (Rituxan) for use in the first‑line treatment of patients with diffuse large B-cell, CD20‑positive, non-Hodgkin's lymphoma in combination with CHOP or other anthracycline‑based chemotherapy regimens
Share
Tweet
Linkedin
Pin it
More sharing options
Linkedin
Pin it
Email
Print
On February 10, 2006, the U.S. Food and Drug Administration granted approval to rituximab (Rituxan, Genentech and Biogen-Idec) for use in the first‑line treatment of patients with diffuse large B-cell, CD20‑positive, non-Hodgkin's lymphoma in combination with CHOP or other anthracycline‑based chemotherapy regimens.
Safety and efficacy were demonstrated in three randomized, active-controlled, open-label, multicenter studies with a collective enrollment of 1854 patients. These trials enrolled primarily patients with diffuse large B-cell lymphoma who had not received prior therapy. Two of the three studies (E4494 and LNH 98-5/GELA) were restricted to patients 60 years of age or greater, while the third (M39045/MiNT) enrolled patients between ages 18 and 60 years. In E4494 and LNH98-5, the majority of patients had Stage 3-4 disease, while the majority had stage 1-2 disease in M39045. Patients received rituximab 375 mg/m2 by differing schedules in combination with cyclophosphamide, doxorubicin, vincristine and prednisone (CHOP) or other anthracycline‑based chemotherapy regimens (R-CHEMO). Each study utilized composite time-to-event endpoints, incorporating disease progression events as the main outcome measure and included overall survival among secondary analyses. Determination of the primary endpoint was based upon investigator-assessment.
In each study, hazard ratios for the main outcome measures favored the rituximab-containing arms. In addition, each study showed an overall survival benefit among patients receiving rituximab. With two years of follow-up, more patients were alive by Kaplan-Meier estimates in the rituximab-containing versus control arms for each study as follows: 74% vs. 63%, 69% vs. 58%, and 95% vs. 86%. In one of the studies, 5-year data were available and demonstrated that the survival advantage persisted with estimated 5-year survival rates of 58% vs. 46% for R-CHOP and CHOP, respectively. Results were generally consistent across subgroups, including age, gender and disease prognostic variables. There was neither additional improvement in progression-free survival nor overall survival for patients in E4494 receiving R-CHOP who were subsequently randomized to additional rituximab after achieving a complete or partial response as compared to those who received R-CHOP alone.
In all three studies, the dose intensity for rituximab in the R-CHOP and R-CHEMO induction arms was high and rituximab treatment was not associated with a reduction in the dose intensities of individual chemotherapy components. Adverse events associated with rituximab were generally consistent with the labeled adverse reactions described for single-agent rituximab. Grade 3/ 4 adverse events occurring with ≥ 2% excess in the rituximab arm in at least one study included infection, thrombocytopenia and lung toxicity/dyspnea. The following serious adverse reactions, some with fatal outcomes, have been reported in patients receiving rituximab: severe or fatal infusion reactions, tumor lysis syndrome, severe mucocutaneous reactions, hepatitis B reactivation with fulminant hepatitis, other viral infections, hypersensitivity reactions, cardiac arrhythmias, renal toxicity, and bowel obstruction and perforation.
Full prescribing information, including clinical trial information, safety, dosing, drug-drug interactions and contraindications is available at Drugs@FDA 
Healthcare professionals should report all serious adverse events suspected to be associated with the use of any medicine and device to FDA's MedWatch Reporting System by phone at 1-800-FDA-1088; by facsimile 1-800-FDA-0178 by mail using the Form 3500</t>
  </si>
  <si>
    <t xml:space="preserve">study_ 227</t>
  </si>
  <si>
    <t xml:space="preserve">NCT00898157;NCT00064116</t>
  </si>
  <si>
    <t xml:space="preserve">E4494; LNH 98-5/GELA; M39045/MINT</t>
  </si>
  <si>
    <t xml:space="preserve">E4494;LNH98-5;M39045</t>
  </si>
  <si>
    <t xml:space="preserve">https://www.fda.gov/drugs/resources-information-approved-drugs/pembrolizumab-keytruda-5-10-2017</t>
  </si>
  <si>
    <t xml:space="preserve">AA_VerifiedBenefit</t>
  </si>
  <si>
    <t xml:space="preserve">Keytruda (pembrolizumab) In combination with pemetrexed and carboplatin for first-line treatment of metastatic non-squamous NSCLC</t>
  </si>
  <si>
    <t xml:space="preserve">Keytruda (pembrolizumab)</t>
  </si>
  <si>
    <t xml:space="preserve">In combination with pemetrexed and carboplatin for first-line treatment of metastatic non-squamous NSCLC</t>
  </si>
  <si>
    <t xml:space="preserve">5/10/2017</t>
  </si>
  <si>
    <t xml:space="preserve">8/20/2018</t>
  </si>
  <si>
    <t xml:space="preserve">Pembrolizumab (Keytruda) 5-10-2017
Resources for Information | Approved Drugs
Oncology (Cancer)/Hematologic Malignancies Approval Notifications
Ongoing | Cancer Accelerated Approvals
Verified Clinical Benefit | Cancer Accelerated Approvals
Withdrawn | Cancer Accelerated Approvals
Other | Cancer Accelerated Approvals
On May 10, 2017, the U.S. Food and Drug Administration granted accelerated approval to pembrolizumab (KEYTRUDA®, Merck and Co., Inc.) in combination with pemetrexed and carboplatin for the treatment of patients with previously untreated metastatic non-squamous non-small cell lung cancer (NSCLC).
Approval was based on a cohort (G1) of patients enrolled in an open-label, multicenter, multi-cohort study (KEYNOTE-021). A total of 123 patients with locally advanced or metastatic non-squamous NSCLC and no prior systemic treatment for metastatic disease were enrolled. Patients were randomized to receive either pembrolizumab, 200 mg every 3 weeks, in combination with pemetrexed and carboplatin (PC) for 4 cycles followed by pembrolizumab for a maximum of 24 months (n=60) compared to PC alone (n=63). At the investigator’s discretion, patients in both arms may have received pemetrexed as maintenance therapy. Randomization was stratified by PD-L1 tumor expression (tumor proportion score [TPS] &lt;1% vs.="" tps=""&gt;1%&gt;
The trial demonstrated an improvement in overall response rate (ORR) and in progression-free survival (PFS) for patients randomized to pembrolizumab plus PC. The ORR was 55% (95% CI: 42-68%) for the pembrolizumab plus PC arm and 29% (95% CI: 18-41%) for the PC alone arm (p=0.0032).. Among responders, the proportion of patients with response durations of 6 months or longer was 93% in the pembrolizumab-containing arm and 81% in the PC alone arm. The hazard ratio for PFS was 0.53 (95% CI: 0.31, 0.91, p=0.0205) and the median PFS was 13.0 months (95% CI: 8.3, NE) for the pembrolizumab plus PC arm and 8.9 months (95% CI: 4.4, 10.3) for the PC alone arm. Exploratory analyses of ORR were conducted in subgroups defined by PD-L1 tumor expression (TPS &lt;1% and="" tps="" ≥1%).="" in="" the="" tps=""&gt;1%&gt;&lt;1% subgroup,="" the="" orr="" was="" 57%="" and="" 13%="" in="" the="" pembrolizumab="" plus="" pc="" and="" in="" the="" pc="" alone="" arms,="" respectively.="" in="" the="" tps="" ≥1%="" subgroup,="" the="" orr="" was="" 54%="" and="" 38%="" in="" the="" pembrolizumab="" plus="" pc="" and="" in="" the="" pc="" alone="" arms,=""&gt;1%&gt;
Adverse events (AEs) and serious AEs (SAE) were observed at a higher incidence with the addition of pembrolizumab to PC compared to PC alone in patients from Cohort G1. Serious AEs occurred in 41% of the patients in the pembrolizumab plus PC arm compared with 28% in the PC alone arm. . The most common AEs (all grades) in the pembrolizumab + PC arm were fatigue (71%), nausea (68%), and constipation (51%). The most common grade 3-4 adverse reactions were fatigue (3.4%), dyspnea (3.4%), nausea (1.7%), vomiting (1.7%), diarrhea (1.7%), and rash (1.7%). Pembrolizumab was discontinued for adverse reactions in 10% of patients. The most common adverse reaction resulting in discontinuation of pembrolizumab (≥ 2%) was acute kidney injury (3.4%).
Immune-mediated adverse reactions can occur with pembrolizumab including pneumonitis, colitis, hepatitis, endocrinopathies, and nephritis. Based on the severity of the adverse reaction, pembrolizumab should be withheld or discontinued and corticosteroids administered when appropriate.
The recommended pembrolizumab dose and schedule for NSCLC is 200 mg as an intravenous infusion every 3 weeks until disease progression, unacceptable toxicity, or up to 24 months in patients without disease progression.
Full prescribing information for pembrolizumab is available at: KEYTRUDA
FDA granted pembrolizumab priority review status and accelerated approval for this indication. An additional study is required to confirm clinical benefit of pembrolizumab in combination with chemotherapy for this indication. A description of FDA expedited programs is in the Guidance for Industry: Expedited Programs for Serious Conditions-Drugs and Biologics, available at: Guidance for Industry Expedited Programs for Serious Conditions – Drugs and Biologics.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Follow the Oncology Center of Excellence on Twitter @FDAOncology
Content current as of:
05/11/2017</t>
  </si>
  <si>
    <t xml:space="preserve">study_ 243</t>
  </si>
  <si>
    <t xml:space="preserve">https://www.fda.gov/drugs/resources-information-approved-drugs/olaratumab-lartruvo</t>
  </si>
  <si>
    <t xml:space="preserve">AA_Withdrawal</t>
  </si>
  <si>
    <t xml:space="preserve">Lartruvo (olaratumab) In combination with doxorubicin for adults with soft tissue sarcoma with a histologic subtype for which an anthracycline-containing regimen is appropriate and which is not amenable to curative treatment with radiotherapy or surgery</t>
  </si>
  <si>
    <t xml:space="preserve">Lartruvo (olaratumab)</t>
  </si>
  <si>
    <t xml:space="preserve">In combination with doxorubicin for adults with soft tissue sarcoma with a histologic subtype for which an anthracycline-containing regimen is appropriate and which is not amenable to curative treatment with radiotherapy or surgery</t>
  </si>
  <si>
    <t xml:space="preserve">10/19/2016</t>
  </si>
  <si>
    <t xml:space="preserve">2/25/2020</t>
  </si>
  <si>
    <t xml:space="preserve">Olaratumab (LARTRUVO)
Resources for Information | Approved Drugs
Oncology (Cancer)/Hematologic Malignancies Approval Notifications
Ongoing | Cancer Accelerated Approvals
Verified Clinical Benefit | Cancer Accelerated Approvals
Withdrawn | Cancer Accelerated Approvals
Other | Cancer Accelerated Approvals
On October 19, 2016, the U.S. Food and Drug Administration granted accelerated approval to olaratumab (LARTRUVO, Eli Lilly and Company) for the treatment of patients with soft tissue sarcoma (STS) not amenable to curative treatment with radiotherapy or surgery and with a histologic subtype for which an anthracycline-containing regimen is appropriate.
Approval was based on data from a randomized, active-controlled, clinical trial involving 133 patients with metastatic STS. Patients were required to have STS not amenable to curative treatment with surgery or radiotherapy, and a histologic type of sarcoma for which an anthracycline-containing regimen was appropriate, but had not been administered.
Patients were randomized (1:1) to receive the combination of olaratumab plus doxorubicin or doxorubicin as a single agent. Olaratumab was administered at 15 mg/kg as an intravenous (IV) infusion on days 1 and 8 of each 21-day cycle. All patients received doxorubicin 75 mg/m2 as an IV infusion on day 1 of each 21-day cycle for maximum of eight cycles and were permitted to receive dexrazoxane on cycles 5 to 8. Single-agent olaratumab was offered to patients in the doxorubicin alone arm at the time of disease progression. Sixty-six patients were randomized to the combination treatment and 67 to doxorubicin alone. Sixty-five percent of patients had no prior chemotherapy (excluding adjuvant and neoadjuvant therapy), 38% had leiomyosarcoma, 1.5% had synovial sarcoma, and 61% had other histologies (over 25 different STS histologies). All patients had metastatic disease and were enrolled in the United States.
Patients who received the combination treatment had a statistically significant improvement in overall survival (OS) compared to those receiving doxorubicin alone. Patients receiving the combination treatment had a median OS of 26.5 months (95% CI: 20.9, 31.7) compared to 14.7 months (95% CI: 9.2, 17.1) for those receiving doxorubicin alone (HR=0.52 [95% CI: 0.34, 0.79]).
The median progression-free survival (independent review) was 8.2 months (95% CI: 5.5, 9.8) for patients who received the combination treatment and 4.4 months (95% CI: 3.1, 7.4) for those receiving doxorubicin alone (HR=0.74 [95% CI: 0.46, 1.19]). The overall response rate (independent review) was 18% (95% CI: 9.8, 29.6) in the combination arm and 8% (95% CI: 2.5, 16.6) in the doxorubicin alone arm.
The most common (greater than or equal to 20%) side effects of treatment with olaratumab are nausea, fatigue, neutropenia, musculoskeletal pain, mucositis, alopecia, vomiting, diarrhea, decreased appetite, abdominal pain, neuropathy, and headache. Infusion-related reactions were seen in 13% of patients. 
The recommended dose and schedule of olaratumab is 15 mg/kg administered as an IV infusion over 60 minutes on days 1 and 8 of each 21-day cycle until disease progression or unacceptable toxicity. For the first eight cycles, olaratumab is administered with doxorubicin.
FDA granted olaratumab fast track and breakthrough therapy designation, priority review status, and accelerated approval for this indication. As a condition of the accelerated approval, Eli Lilly and Company is required to conduct a randomized, controlled trial to verify and further describe the clinical benefit of olaratumab given with doxorubicin in patients with STS. Olaratumab also received orphan drug designation. A description of these expedited programs is in the Guidance for Industry: Expedited Programs for Serious Conditions-Drugs and Biologics, available at: http://www.fda.gov/downloads/drugs/guidancecomplianceregulatoryinformation/guidances/ucm358301.pdf.
Full prescribing information is available at: http://www.accessdata.fda.gov/drugsatfda_docs/label/2016/761038lbl.pdf
Healthcare professionals should report all serious adverse events suspected to be associated with the use of any medicine and device to FDA’s MedWatch Reporting System by completing a form online at http://www.fda.gov/medwatch/report.htm, by faxing (1-800-FDA-0178) or mailing the postage-paid address form provided online, or by telephone (1-800-FDA-1088)
Content current as of:
10/20/2016</t>
  </si>
  <si>
    <t xml:space="preserve">study_ 258</t>
  </si>
</sst>
</file>

<file path=xl/styles.xml><?xml version="1.0" encoding="utf-8"?>
<styleSheet xmlns="http://schemas.openxmlformats.org/spreadsheetml/2006/main">
  <numFmts count="2">
    <numFmt numFmtId="164" formatCode="General"/>
    <numFmt numFmtId="165" formatCode="General"/>
  </numFmts>
  <fonts count="4">
    <font>
      <sz val="11"/>
      <color theme="1"/>
      <name val="Aptos Narrow"/>
      <family val="2"/>
      <charset val="1"/>
    </font>
    <font>
      <sz val="10"/>
      <name val="Arial"/>
      <family val="0"/>
    </font>
    <font>
      <sz val="10"/>
      <name val="Arial"/>
      <family val="0"/>
    </font>
    <font>
      <sz val="1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X1" activeCellId="0" sqref="X1"/>
    </sheetView>
  </sheetViews>
  <sheetFormatPr defaultColWidth="8.59765625" defaultRowHeight="15.75" zeroHeight="false" outlineLevelRow="0" outlineLevelCol="0"/>
  <cols>
    <col collapsed="false" customWidth="true" hidden="false" outlineLevel="0" max="19" min="19" style="1" width="77.7"/>
    <col collapsed="false" customWidth="true" hidden="false" outlineLevel="0" max="20" min="20" style="1" width="13.97"/>
    <col collapsed="false" customWidth="true" hidden="false" outlineLevel="0" max="16384" min="16384" style="0" width="10.16"/>
  </cols>
  <sheetData>
    <row r="1" customFormat="false" ht="15.7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row>
    <row r="2" customFormat="false" ht="85.05" hidden="false" customHeight="true" outlineLevel="0" collapsed="false">
      <c r="A2" s="2" t="s">
        <v>23</v>
      </c>
      <c r="B2" s="2" t="s">
        <v>24</v>
      </c>
      <c r="C2" s="2" t="s">
        <v>25</v>
      </c>
      <c r="D2" s="2" t="s">
        <v>26</v>
      </c>
      <c r="E2" s="2" t="s">
        <v>27</v>
      </c>
      <c r="F2" s="2" t="s">
        <v>24</v>
      </c>
      <c r="G2" s="2" t="e">
        <f aca="false">#N/A</f>
        <v>#N/A</v>
      </c>
      <c r="H2" s="2" t="e">
        <f aca="false">#N/A</f>
        <v>#N/A</v>
      </c>
      <c r="I2" s="2" t="e">
        <f aca="false">#N/A</f>
        <v>#N/A</v>
      </c>
      <c r="J2" s="2" t="e">
        <f aca="false">#N/A</f>
        <v>#N/A</v>
      </c>
      <c r="K2" s="2" t="e">
        <f aca="false">#N/A</f>
        <v>#N/A</v>
      </c>
      <c r="L2" s="2" t="s">
        <v>28</v>
      </c>
      <c r="M2" s="2" t="s">
        <v>28</v>
      </c>
      <c r="N2" s="2" t="s">
        <v>28</v>
      </c>
      <c r="O2" s="2" t="s">
        <v>28</v>
      </c>
      <c r="P2" s="3" t="b">
        <f aca="false">FALSE()</f>
        <v>0</v>
      </c>
      <c r="Q2" s="2" t="e">
        <f aca="false">#N/A</f>
        <v>#N/A</v>
      </c>
      <c r="R2" s="2" t="e">
        <f aca="false">#N/A</f>
        <v>#N/A</v>
      </c>
      <c r="S2" s="4" t="s">
        <v>29</v>
      </c>
      <c r="T2" s="2" t="s">
        <v>30</v>
      </c>
      <c r="U2" s="2" t="s">
        <v>31</v>
      </c>
      <c r="V2" s="2" t="s">
        <v>32</v>
      </c>
      <c r="W2" s="2" t="s">
        <v>33</v>
      </c>
    </row>
    <row r="3" customFormat="false" ht="85.05" hidden="false" customHeight="true" outlineLevel="0" collapsed="false">
      <c r="A3" s="2" t="s">
        <v>34</v>
      </c>
      <c r="B3" s="2" t="s">
        <v>35</v>
      </c>
      <c r="C3" s="2" t="s">
        <v>36</v>
      </c>
      <c r="D3" s="2" t="s">
        <v>37</v>
      </c>
      <c r="E3" s="2" t="s">
        <v>27</v>
      </c>
      <c r="F3" s="2" t="s">
        <v>35</v>
      </c>
      <c r="G3" s="2" t="e">
        <f aca="false">#N/A</f>
        <v>#N/A</v>
      </c>
      <c r="H3" s="2" t="e">
        <f aca="false">#N/A</f>
        <v>#N/A</v>
      </c>
      <c r="I3" s="2" t="e">
        <f aca="false">#N/A</f>
        <v>#N/A</v>
      </c>
      <c r="J3" s="2" t="e">
        <f aca="false">#N/A</f>
        <v>#N/A</v>
      </c>
      <c r="K3" s="2" t="e">
        <f aca="false">#N/A</f>
        <v>#N/A</v>
      </c>
      <c r="L3" s="2" t="s">
        <v>28</v>
      </c>
      <c r="M3" s="2" t="s">
        <v>28</v>
      </c>
      <c r="N3" s="2" t="s">
        <v>28</v>
      </c>
      <c r="O3" s="2" t="s">
        <v>28</v>
      </c>
      <c r="P3" s="3" t="b">
        <f aca="false">FALSE()</f>
        <v>0</v>
      </c>
      <c r="Q3" s="2" t="e">
        <f aca="false">#N/A</f>
        <v>#N/A</v>
      </c>
      <c r="R3" s="2" t="e">
        <f aca="false">#N/A</f>
        <v>#N/A</v>
      </c>
      <c r="S3" s="4" t="s">
        <v>38</v>
      </c>
      <c r="T3" s="2" t="s">
        <v>39</v>
      </c>
      <c r="U3" s="2" t="e">
        <f aca="false">#N/A</f>
        <v>#N/A</v>
      </c>
      <c r="V3" s="2" t="s">
        <v>40</v>
      </c>
      <c r="W3" s="2" t="s">
        <v>40</v>
      </c>
    </row>
    <row r="4" customFormat="false" ht="85.05" hidden="false" customHeight="true" outlineLevel="0" collapsed="false">
      <c r="A4" s="2" t="s">
        <v>41</v>
      </c>
      <c r="B4" s="2" t="s">
        <v>42</v>
      </c>
      <c r="C4" s="2" t="s">
        <v>43</v>
      </c>
      <c r="D4" s="2" t="s">
        <v>44</v>
      </c>
      <c r="E4" s="2" t="s">
        <v>27</v>
      </c>
      <c r="F4" s="2" t="s">
        <v>42</v>
      </c>
      <c r="G4" s="2" t="e">
        <f aca="false">#N/A</f>
        <v>#N/A</v>
      </c>
      <c r="H4" s="2" t="e">
        <f aca="false">#N/A</f>
        <v>#N/A</v>
      </c>
      <c r="I4" s="2" t="e">
        <f aca="false">#N/A</f>
        <v>#N/A</v>
      </c>
      <c r="J4" s="2" t="e">
        <f aca="false">#N/A</f>
        <v>#N/A</v>
      </c>
      <c r="K4" s="2" t="e">
        <f aca="false">#N/A</f>
        <v>#N/A</v>
      </c>
      <c r="L4" s="2" t="s">
        <v>28</v>
      </c>
      <c r="M4" s="2" t="s">
        <v>28</v>
      </c>
      <c r="N4" s="2" t="s">
        <v>28</v>
      </c>
      <c r="O4" s="2" t="s">
        <v>28</v>
      </c>
      <c r="P4" s="3" t="b">
        <f aca="false">FALSE()</f>
        <v>0</v>
      </c>
      <c r="Q4" s="2" t="e">
        <f aca="false">#N/A</f>
        <v>#N/A</v>
      </c>
      <c r="R4" s="2" t="e">
        <f aca="false">#N/A</f>
        <v>#N/A</v>
      </c>
      <c r="S4" s="4" t="s">
        <v>45</v>
      </c>
      <c r="T4" s="2" t="s">
        <v>46</v>
      </c>
      <c r="U4" s="2" t="s">
        <v>47</v>
      </c>
      <c r="V4" s="2" t="s">
        <v>48</v>
      </c>
      <c r="W4" s="2" t="s">
        <v>48</v>
      </c>
    </row>
    <row r="5" customFormat="false" ht="85.05" hidden="false" customHeight="true" outlineLevel="0" collapsed="false">
      <c r="A5" s="2" t="e">
        <f aca="false">#N/A</f>
        <v>#N/A</v>
      </c>
      <c r="B5" s="2" t="s">
        <v>49</v>
      </c>
      <c r="C5" s="2" t="s">
        <v>50</v>
      </c>
      <c r="D5" s="2" t="e">
        <f aca="false">#N/A</f>
        <v>#N/A</v>
      </c>
      <c r="E5" s="2" t="s">
        <v>27</v>
      </c>
      <c r="F5" s="2" t="s">
        <v>49</v>
      </c>
      <c r="G5" s="2" t="e">
        <f aca="false">#N/A</f>
        <v>#N/A</v>
      </c>
      <c r="H5" s="2" t="e">
        <f aca="false">#N/A</f>
        <v>#N/A</v>
      </c>
      <c r="I5" s="2" t="e">
        <f aca="false">#N/A</f>
        <v>#N/A</v>
      </c>
      <c r="J5" s="2" t="e">
        <f aca="false">#N/A</f>
        <v>#N/A</v>
      </c>
      <c r="K5" s="2" t="e">
        <f aca="false">#N/A</f>
        <v>#N/A</v>
      </c>
      <c r="L5" s="2" t="s">
        <v>28</v>
      </c>
      <c r="M5" s="2" t="s">
        <v>28</v>
      </c>
      <c r="N5" s="2" t="s">
        <v>28</v>
      </c>
      <c r="O5" s="2" t="s">
        <v>28</v>
      </c>
      <c r="P5" s="3" t="b">
        <f aca="false">FALSE()</f>
        <v>0</v>
      </c>
      <c r="Q5" s="2" t="e">
        <f aca="false">#N/A</f>
        <v>#N/A</v>
      </c>
      <c r="R5" s="2" t="e">
        <f aca="false">#N/A</f>
        <v>#N/A</v>
      </c>
      <c r="S5" s="4" t="s">
        <v>51</v>
      </c>
      <c r="T5" s="2" t="s">
        <v>52</v>
      </c>
      <c r="U5" s="2" t="s">
        <v>47</v>
      </c>
      <c r="V5" s="2" t="s">
        <v>48</v>
      </c>
      <c r="W5" s="2" t="s">
        <v>48</v>
      </c>
    </row>
    <row r="6" customFormat="false" ht="85.05" hidden="false" customHeight="true" outlineLevel="0" collapsed="false">
      <c r="A6" s="2" t="e">
        <f aca="false">#N/A</f>
        <v>#N/A</v>
      </c>
      <c r="B6" s="2" t="s">
        <v>53</v>
      </c>
      <c r="C6" s="2" t="s">
        <v>54</v>
      </c>
      <c r="D6" s="2" t="e">
        <f aca="false">#N/A</f>
        <v>#N/A</v>
      </c>
      <c r="E6" s="2" t="s">
        <v>27</v>
      </c>
      <c r="F6" s="2" t="s">
        <v>53</v>
      </c>
      <c r="G6" s="2" t="e">
        <f aca="false">#N/A</f>
        <v>#N/A</v>
      </c>
      <c r="H6" s="2" t="e">
        <f aca="false">#N/A</f>
        <v>#N/A</v>
      </c>
      <c r="I6" s="2" t="e">
        <f aca="false">#N/A</f>
        <v>#N/A</v>
      </c>
      <c r="J6" s="2" t="e">
        <f aca="false">#N/A</f>
        <v>#N/A</v>
      </c>
      <c r="K6" s="2" t="e">
        <f aca="false">#N/A</f>
        <v>#N/A</v>
      </c>
      <c r="L6" s="2" t="s">
        <v>28</v>
      </c>
      <c r="M6" s="2" t="s">
        <v>28</v>
      </c>
      <c r="N6" s="2" t="s">
        <v>28</v>
      </c>
      <c r="O6" s="2" t="s">
        <v>28</v>
      </c>
      <c r="P6" s="3" t="b">
        <f aca="false">FALSE()</f>
        <v>0</v>
      </c>
      <c r="Q6" s="2" t="e">
        <f aca="false">#N/A</f>
        <v>#N/A</v>
      </c>
      <c r="R6" s="2" t="e">
        <f aca="false">#N/A</f>
        <v>#N/A</v>
      </c>
      <c r="S6" s="4" t="s">
        <v>55</v>
      </c>
      <c r="T6" s="2" t="s">
        <v>56</v>
      </c>
      <c r="U6" s="2" t="e">
        <f aca="false">#N/A</f>
        <v>#N/A</v>
      </c>
      <c r="V6" s="2" t="s">
        <v>40</v>
      </c>
      <c r="W6" s="2" t="s">
        <v>40</v>
      </c>
    </row>
    <row r="7" customFormat="false" ht="85.05" hidden="false" customHeight="true" outlineLevel="0" collapsed="false">
      <c r="A7" s="2" t="e">
        <f aca="false">#N/A</f>
        <v>#N/A</v>
      </c>
      <c r="B7" s="2" t="s">
        <v>57</v>
      </c>
      <c r="C7" s="2" t="s">
        <v>58</v>
      </c>
      <c r="D7" s="2" t="e">
        <f aca="false">#N/A</f>
        <v>#N/A</v>
      </c>
      <c r="E7" s="2" t="s">
        <v>27</v>
      </c>
      <c r="F7" s="2" t="s">
        <v>57</v>
      </c>
      <c r="G7" s="2" t="e">
        <f aca="false">#N/A</f>
        <v>#N/A</v>
      </c>
      <c r="H7" s="2" t="e">
        <f aca="false">#N/A</f>
        <v>#N/A</v>
      </c>
      <c r="I7" s="2" t="e">
        <f aca="false">#N/A</f>
        <v>#N/A</v>
      </c>
      <c r="J7" s="2" t="e">
        <f aca="false">#N/A</f>
        <v>#N/A</v>
      </c>
      <c r="K7" s="2" t="e">
        <f aca="false">#N/A</f>
        <v>#N/A</v>
      </c>
      <c r="L7" s="2" t="s">
        <v>28</v>
      </c>
      <c r="M7" s="2" t="s">
        <v>28</v>
      </c>
      <c r="N7" s="2" t="s">
        <v>28</v>
      </c>
      <c r="O7" s="2" t="s">
        <v>28</v>
      </c>
      <c r="P7" s="3" t="b">
        <f aca="false">FALSE()</f>
        <v>0</v>
      </c>
      <c r="Q7" s="2" t="e">
        <f aca="false">#N/A</f>
        <v>#N/A</v>
      </c>
      <c r="R7" s="2" t="s">
        <v>59</v>
      </c>
      <c r="S7" s="4" t="s">
        <v>60</v>
      </c>
      <c r="T7" s="2" t="s">
        <v>61</v>
      </c>
      <c r="U7" s="2" t="s">
        <v>62</v>
      </c>
      <c r="V7" s="2" t="s">
        <v>63</v>
      </c>
      <c r="W7" s="2" t="s">
        <v>63</v>
      </c>
    </row>
    <row r="8" customFormat="false" ht="85.05" hidden="false" customHeight="true" outlineLevel="0" collapsed="false">
      <c r="A8" s="2" t="e">
        <f aca="false">#N/A</f>
        <v>#N/A</v>
      </c>
      <c r="B8" s="2" t="s">
        <v>64</v>
      </c>
      <c r="C8" s="2" t="s">
        <v>65</v>
      </c>
      <c r="D8" s="2" t="e">
        <f aca="false">#N/A</f>
        <v>#N/A</v>
      </c>
      <c r="E8" s="2" t="s">
        <v>27</v>
      </c>
      <c r="F8" s="2" t="s">
        <v>64</v>
      </c>
      <c r="G8" s="2" t="e">
        <f aca="false">#N/A</f>
        <v>#N/A</v>
      </c>
      <c r="H8" s="2" t="e">
        <f aca="false">#N/A</f>
        <v>#N/A</v>
      </c>
      <c r="I8" s="2" t="e">
        <f aca="false">#N/A</f>
        <v>#N/A</v>
      </c>
      <c r="J8" s="2" t="e">
        <f aca="false">#N/A</f>
        <v>#N/A</v>
      </c>
      <c r="K8" s="2" t="e">
        <f aca="false">#N/A</f>
        <v>#N/A</v>
      </c>
      <c r="L8" s="2" t="s">
        <v>28</v>
      </c>
      <c r="M8" s="2" t="s">
        <v>28</v>
      </c>
      <c r="N8" s="2" t="s">
        <v>28</v>
      </c>
      <c r="O8" s="2" t="s">
        <v>28</v>
      </c>
      <c r="P8" s="3" t="b">
        <f aca="false">FALSE()</f>
        <v>0</v>
      </c>
      <c r="Q8" s="2" t="e">
        <f aca="false">#N/A</f>
        <v>#N/A</v>
      </c>
      <c r="R8" s="2" t="e">
        <f aca="false">#N/A</f>
        <v>#N/A</v>
      </c>
      <c r="S8" s="4" t="s">
        <v>66</v>
      </c>
      <c r="T8" s="2" t="s">
        <v>67</v>
      </c>
      <c r="U8" s="2" t="s">
        <v>68</v>
      </c>
      <c r="V8" s="2" t="s">
        <v>69</v>
      </c>
      <c r="W8" s="2" t="s">
        <v>70</v>
      </c>
    </row>
    <row r="9" customFormat="false" ht="85.05" hidden="false" customHeight="true" outlineLevel="0" collapsed="false">
      <c r="A9" s="2" t="e">
        <f aca="false">#N/A</f>
        <v>#N/A</v>
      </c>
      <c r="B9" s="2" t="s">
        <v>71</v>
      </c>
      <c r="C9" s="2" t="s">
        <v>72</v>
      </c>
      <c r="D9" s="2" t="e">
        <f aca="false">#N/A</f>
        <v>#N/A</v>
      </c>
      <c r="E9" s="2" t="s">
        <v>27</v>
      </c>
      <c r="F9" s="2" t="s">
        <v>71</v>
      </c>
      <c r="G9" s="2" t="e">
        <f aca="false">#N/A</f>
        <v>#N/A</v>
      </c>
      <c r="H9" s="2" t="e">
        <f aca="false">#N/A</f>
        <v>#N/A</v>
      </c>
      <c r="I9" s="2" t="e">
        <f aca="false">#N/A</f>
        <v>#N/A</v>
      </c>
      <c r="J9" s="2" t="e">
        <f aca="false">#N/A</f>
        <v>#N/A</v>
      </c>
      <c r="K9" s="2" t="e">
        <f aca="false">#N/A</f>
        <v>#N/A</v>
      </c>
      <c r="L9" s="2" t="s">
        <v>28</v>
      </c>
      <c r="M9" s="2" t="s">
        <v>28</v>
      </c>
      <c r="N9" s="2" t="s">
        <v>28</v>
      </c>
      <c r="O9" s="2" t="s">
        <v>28</v>
      </c>
      <c r="P9" s="3" t="b">
        <f aca="false">FALSE()</f>
        <v>0</v>
      </c>
      <c r="Q9" s="2" t="e">
        <f aca="false">#N/A</f>
        <v>#N/A</v>
      </c>
      <c r="R9" s="2" t="e">
        <f aca="false">#N/A</f>
        <v>#N/A</v>
      </c>
      <c r="S9" s="4" t="s">
        <v>73</v>
      </c>
      <c r="T9" s="2" t="s">
        <v>74</v>
      </c>
      <c r="U9" s="2" t="s">
        <v>75</v>
      </c>
      <c r="V9" s="2" t="s">
        <v>76</v>
      </c>
      <c r="W9" s="2" t="s">
        <v>76</v>
      </c>
    </row>
    <row r="10" customFormat="false" ht="85.05" hidden="false" customHeight="true" outlineLevel="0" collapsed="false">
      <c r="A10" s="2" t="e">
        <f aca="false">#N/A</f>
        <v>#N/A</v>
      </c>
      <c r="B10" s="2" t="s">
        <v>77</v>
      </c>
      <c r="C10" s="2" t="s">
        <v>78</v>
      </c>
      <c r="D10" s="2" t="e">
        <f aca="false">#N/A</f>
        <v>#N/A</v>
      </c>
      <c r="E10" s="2" t="s">
        <v>27</v>
      </c>
      <c r="F10" s="2" t="s">
        <v>77</v>
      </c>
      <c r="G10" s="2" t="e">
        <f aca="false">#N/A</f>
        <v>#N/A</v>
      </c>
      <c r="H10" s="2" t="e">
        <f aca="false">#N/A</f>
        <v>#N/A</v>
      </c>
      <c r="I10" s="2" t="e">
        <f aca="false">#N/A</f>
        <v>#N/A</v>
      </c>
      <c r="J10" s="2" t="e">
        <f aca="false">#N/A</f>
        <v>#N/A</v>
      </c>
      <c r="K10" s="2" t="e">
        <f aca="false">#N/A</f>
        <v>#N/A</v>
      </c>
      <c r="L10" s="2" t="s">
        <v>28</v>
      </c>
      <c r="M10" s="2" t="s">
        <v>28</v>
      </c>
      <c r="N10" s="2" t="s">
        <v>28</v>
      </c>
      <c r="O10" s="2" t="s">
        <v>28</v>
      </c>
      <c r="P10" s="3" t="b">
        <f aca="false">FALSE()</f>
        <v>0</v>
      </c>
      <c r="Q10" s="2" t="e">
        <f aca="false">#N/A</f>
        <v>#N/A</v>
      </c>
      <c r="R10" s="2" t="e">
        <f aca="false">#N/A</f>
        <v>#N/A</v>
      </c>
      <c r="S10" s="4" t="s">
        <v>79</v>
      </c>
      <c r="T10" s="2" t="s">
        <v>80</v>
      </c>
      <c r="U10" s="2" t="s">
        <v>81</v>
      </c>
      <c r="V10" s="2" t="s">
        <v>82</v>
      </c>
      <c r="W10" s="2" t="s">
        <v>82</v>
      </c>
    </row>
    <row r="11" customFormat="false" ht="85.05" hidden="false" customHeight="true" outlineLevel="0" collapsed="false">
      <c r="A11" s="2" t="e">
        <f aca="false">#N/A</f>
        <v>#N/A</v>
      </c>
      <c r="B11" s="2" t="s">
        <v>83</v>
      </c>
      <c r="C11" s="2" t="s">
        <v>84</v>
      </c>
      <c r="D11" s="2" t="e">
        <f aca="false">#N/A</f>
        <v>#N/A</v>
      </c>
      <c r="E11" s="2" t="s">
        <v>27</v>
      </c>
      <c r="F11" s="2" t="s">
        <v>83</v>
      </c>
      <c r="G11" s="2" t="e">
        <f aca="false">#N/A</f>
        <v>#N/A</v>
      </c>
      <c r="H11" s="2" t="e">
        <f aca="false">#N/A</f>
        <v>#N/A</v>
      </c>
      <c r="I11" s="2" t="e">
        <f aca="false">#N/A</f>
        <v>#N/A</v>
      </c>
      <c r="J11" s="2" t="e">
        <f aca="false">#N/A</f>
        <v>#N/A</v>
      </c>
      <c r="K11" s="2" t="e">
        <f aca="false">#N/A</f>
        <v>#N/A</v>
      </c>
      <c r="L11" s="2" t="s">
        <v>28</v>
      </c>
      <c r="M11" s="2" t="s">
        <v>28</v>
      </c>
      <c r="N11" s="2" t="s">
        <v>28</v>
      </c>
      <c r="O11" s="2" t="s">
        <v>28</v>
      </c>
      <c r="P11" s="3" t="b">
        <f aca="false">FALSE()</f>
        <v>0</v>
      </c>
      <c r="Q11" s="2" t="e">
        <f aca="false">#N/A</f>
        <v>#N/A</v>
      </c>
      <c r="R11" s="2" t="s">
        <v>85</v>
      </c>
      <c r="S11" s="4" t="s">
        <v>86</v>
      </c>
      <c r="T11" s="2" t="s">
        <v>87</v>
      </c>
      <c r="U11" s="2" t="s">
        <v>88</v>
      </c>
      <c r="V11" s="2" t="s">
        <v>89</v>
      </c>
      <c r="W11" s="2" t="s">
        <v>90</v>
      </c>
    </row>
    <row r="12" customFormat="false" ht="85.05" hidden="false" customHeight="true" outlineLevel="0" collapsed="false">
      <c r="A12" s="2" t="e">
        <f aca="false">#N/A</f>
        <v>#N/A</v>
      </c>
      <c r="B12" s="2" t="s">
        <v>91</v>
      </c>
      <c r="C12" s="2" t="s">
        <v>92</v>
      </c>
      <c r="D12" s="2" t="e">
        <f aca="false">#N/A</f>
        <v>#N/A</v>
      </c>
      <c r="E12" s="2" t="s">
        <v>27</v>
      </c>
      <c r="F12" s="2" t="s">
        <v>91</v>
      </c>
      <c r="G12" s="2" t="e">
        <f aca="false">#N/A</f>
        <v>#N/A</v>
      </c>
      <c r="H12" s="2" t="e">
        <f aca="false">#N/A</f>
        <v>#N/A</v>
      </c>
      <c r="I12" s="2" t="e">
        <f aca="false">#N/A</f>
        <v>#N/A</v>
      </c>
      <c r="J12" s="2" t="e">
        <f aca="false">#N/A</f>
        <v>#N/A</v>
      </c>
      <c r="K12" s="2" t="e">
        <f aca="false">#N/A</f>
        <v>#N/A</v>
      </c>
      <c r="L12" s="2" t="s">
        <v>93</v>
      </c>
      <c r="M12" s="2" t="s">
        <v>28</v>
      </c>
      <c r="N12" s="2" t="s">
        <v>28</v>
      </c>
      <c r="O12" s="2" t="s">
        <v>28</v>
      </c>
      <c r="P12" s="3" t="b">
        <f aca="false">TRUE()</f>
        <v>1</v>
      </c>
      <c r="Q12" s="2" t="s">
        <v>94</v>
      </c>
      <c r="R12" s="2" t="s">
        <v>95</v>
      </c>
      <c r="S12" s="4" t="s">
        <v>96</v>
      </c>
      <c r="T12" s="2" t="s">
        <v>97</v>
      </c>
      <c r="U12" s="2" t="s">
        <v>98</v>
      </c>
      <c r="V12" s="2" t="s">
        <v>99</v>
      </c>
      <c r="W12" s="2" t="s">
        <v>99</v>
      </c>
    </row>
    <row r="13" customFormat="false" ht="85.05" hidden="false" customHeight="true" outlineLevel="0" collapsed="false">
      <c r="A13" s="2" t="e">
        <f aca="false">#N/A</f>
        <v>#N/A</v>
      </c>
      <c r="B13" s="2" t="s">
        <v>100</v>
      </c>
      <c r="C13" s="2" t="s">
        <v>101</v>
      </c>
      <c r="D13" s="2" t="e">
        <f aca="false">#N/A</f>
        <v>#N/A</v>
      </c>
      <c r="E13" s="2" t="s">
        <v>27</v>
      </c>
      <c r="F13" s="2" t="s">
        <v>100</v>
      </c>
      <c r="G13" s="2" t="e">
        <f aca="false">#N/A</f>
        <v>#N/A</v>
      </c>
      <c r="H13" s="2" t="e">
        <f aca="false">#N/A</f>
        <v>#N/A</v>
      </c>
      <c r="I13" s="2" t="e">
        <f aca="false">#N/A</f>
        <v>#N/A</v>
      </c>
      <c r="J13" s="2" t="e">
        <f aca="false">#N/A</f>
        <v>#N/A</v>
      </c>
      <c r="K13" s="2" t="e">
        <f aca="false">#N/A</f>
        <v>#N/A</v>
      </c>
      <c r="L13" s="2" t="s">
        <v>28</v>
      </c>
      <c r="M13" s="2" t="s">
        <v>28</v>
      </c>
      <c r="N13" s="2" t="s">
        <v>28</v>
      </c>
      <c r="O13" s="2" t="s">
        <v>28</v>
      </c>
      <c r="P13" s="3" t="b">
        <f aca="false">FALSE()</f>
        <v>0</v>
      </c>
      <c r="Q13" s="2" t="e">
        <f aca="false">#N/A</f>
        <v>#N/A</v>
      </c>
      <c r="R13" s="2" t="e">
        <f aca="false">#N/A</f>
        <v>#N/A</v>
      </c>
      <c r="S13" s="4" t="s">
        <v>102</v>
      </c>
      <c r="T13" s="2" t="s">
        <v>103</v>
      </c>
      <c r="U13" s="2" t="s">
        <v>104</v>
      </c>
      <c r="V13" s="2" t="s">
        <v>105</v>
      </c>
      <c r="W13" s="2" t="s">
        <v>105</v>
      </c>
    </row>
    <row r="14" customFormat="false" ht="85.05" hidden="false" customHeight="true" outlineLevel="0" collapsed="false">
      <c r="A14" s="2" t="e">
        <f aca="false">#N/A</f>
        <v>#N/A</v>
      </c>
      <c r="B14" s="2" t="s">
        <v>106</v>
      </c>
      <c r="C14" s="2" t="s">
        <v>107</v>
      </c>
      <c r="D14" s="2" t="e">
        <f aca="false">#N/A</f>
        <v>#N/A</v>
      </c>
      <c r="E14" s="2" t="s">
        <v>27</v>
      </c>
      <c r="F14" s="2" t="s">
        <v>106</v>
      </c>
      <c r="G14" s="2" t="e">
        <f aca="false">#N/A</f>
        <v>#N/A</v>
      </c>
      <c r="H14" s="2" t="e">
        <f aca="false">#N/A</f>
        <v>#N/A</v>
      </c>
      <c r="I14" s="2" t="e">
        <f aca="false">#N/A</f>
        <v>#N/A</v>
      </c>
      <c r="J14" s="2" t="e">
        <f aca="false">#N/A</f>
        <v>#N/A</v>
      </c>
      <c r="K14" s="2" t="e">
        <f aca="false">#N/A</f>
        <v>#N/A</v>
      </c>
      <c r="L14" s="2" t="s">
        <v>28</v>
      </c>
      <c r="M14" s="2" t="s">
        <v>28</v>
      </c>
      <c r="N14" s="2" t="s">
        <v>28</v>
      </c>
      <c r="O14" s="2" t="s">
        <v>28</v>
      </c>
      <c r="P14" s="3" t="b">
        <f aca="false">FALSE()</f>
        <v>0</v>
      </c>
      <c r="Q14" s="2" t="e">
        <f aca="false">#N/A</f>
        <v>#N/A</v>
      </c>
      <c r="R14" s="2" t="e">
        <f aca="false">#N/A</f>
        <v>#N/A</v>
      </c>
      <c r="S14" s="4" t="s">
        <v>108</v>
      </c>
      <c r="T14" s="2" t="s">
        <v>109</v>
      </c>
      <c r="U14" s="2" t="s">
        <v>110</v>
      </c>
      <c r="V14" s="2" t="s">
        <v>111</v>
      </c>
      <c r="W14" s="2" t="s">
        <v>111</v>
      </c>
    </row>
    <row r="15" customFormat="false" ht="85.05" hidden="false" customHeight="true" outlineLevel="0" collapsed="false">
      <c r="A15" s="2" t="e">
        <f aca="false">#N/A</f>
        <v>#N/A</v>
      </c>
      <c r="B15" s="2" t="s">
        <v>112</v>
      </c>
      <c r="C15" s="2" t="s">
        <v>113</v>
      </c>
      <c r="D15" s="2" t="e">
        <f aca="false">#N/A</f>
        <v>#N/A</v>
      </c>
      <c r="E15" s="2" t="s">
        <v>27</v>
      </c>
      <c r="F15" s="2" t="s">
        <v>112</v>
      </c>
      <c r="G15" s="2" t="e">
        <f aca="false">#N/A</f>
        <v>#N/A</v>
      </c>
      <c r="H15" s="2" t="e">
        <f aca="false">#N/A</f>
        <v>#N/A</v>
      </c>
      <c r="I15" s="2" t="e">
        <f aca="false">#N/A</f>
        <v>#N/A</v>
      </c>
      <c r="J15" s="2" t="e">
        <f aca="false">#N/A</f>
        <v>#N/A</v>
      </c>
      <c r="K15" s="2" t="e">
        <f aca="false">#N/A</f>
        <v>#N/A</v>
      </c>
      <c r="L15" s="2" t="s">
        <v>28</v>
      </c>
      <c r="M15" s="2" t="s">
        <v>28</v>
      </c>
      <c r="N15" s="2" t="s">
        <v>28</v>
      </c>
      <c r="O15" s="2" t="s">
        <v>28</v>
      </c>
      <c r="P15" s="3" t="b">
        <f aca="false">FALSE()</f>
        <v>0</v>
      </c>
      <c r="Q15" s="2" t="e">
        <f aca="false">#N/A</f>
        <v>#N/A</v>
      </c>
      <c r="R15" s="2" t="e">
        <f aca="false">#N/A</f>
        <v>#N/A</v>
      </c>
      <c r="S15" s="4" t="s">
        <v>114</v>
      </c>
      <c r="T15" s="2" t="s">
        <v>115</v>
      </c>
      <c r="U15" s="2" t="e">
        <f aca="false">#N/A</f>
        <v>#N/A</v>
      </c>
      <c r="V15" s="2" t="s">
        <v>40</v>
      </c>
      <c r="W15" s="2" t="s">
        <v>40</v>
      </c>
    </row>
    <row r="16" customFormat="false" ht="85.05" hidden="false" customHeight="true" outlineLevel="0" collapsed="false">
      <c r="A16" s="2" t="e">
        <f aca="false">#N/A</f>
        <v>#N/A</v>
      </c>
      <c r="B16" s="2" t="s">
        <v>116</v>
      </c>
      <c r="C16" s="2" t="s">
        <v>117</v>
      </c>
      <c r="D16" s="2" t="e">
        <f aca="false">#N/A</f>
        <v>#N/A</v>
      </c>
      <c r="E16" s="2" t="s">
        <v>27</v>
      </c>
      <c r="F16" s="2" t="s">
        <v>116</v>
      </c>
      <c r="G16" s="2" t="e">
        <f aca="false">#N/A</f>
        <v>#N/A</v>
      </c>
      <c r="H16" s="2" t="e">
        <f aca="false">#N/A</f>
        <v>#N/A</v>
      </c>
      <c r="I16" s="2" t="e">
        <f aca="false">#N/A</f>
        <v>#N/A</v>
      </c>
      <c r="J16" s="2" t="e">
        <f aca="false">#N/A</f>
        <v>#N/A</v>
      </c>
      <c r="K16" s="2" t="e">
        <f aca="false">#N/A</f>
        <v>#N/A</v>
      </c>
      <c r="L16" s="2" t="s">
        <v>28</v>
      </c>
      <c r="M16" s="2" t="s">
        <v>28</v>
      </c>
      <c r="N16" s="2" t="s">
        <v>28</v>
      </c>
      <c r="O16" s="2" t="s">
        <v>28</v>
      </c>
      <c r="P16" s="3" t="b">
        <f aca="false">FALSE()</f>
        <v>0</v>
      </c>
      <c r="Q16" s="2" t="e">
        <f aca="false">#N/A</f>
        <v>#N/A</v>
      </c>
      <c r="R16" s="2" t="e">
        <f aca="false">#N/A</f>
        <v>#N/A</v>
      </c>
      <c r="S16" s="4" t="s">
        <v>118</v>
      </c>
      <c r="T16" s="2" t="s">
        <v>119</v>
      </c>
      <c r="U16" s="2" t="e">
        <f aca="false">#N/A</f>
        <v>#N/A</v>
      </c>
      <c r="V16" s="2" t="s">
        <v>40</v>
      </c>
      <c r="W16" s="2" t="s">
        <v>40</v>
      </c>
    </row>
    <row r="17" customFormat="false" ht="85.05" hidden="false" customHeight="true" outlineLevel="0" collapsed="false">
      <c r="A17" s="2" t="e">
        <f aca="false">#N/A</f>
        <v>#N/A</v>
      </c>
      <c r="B17" s="2" t="s">
        <v>120</v>
      </c>
      <c r="C17" s="2" t="s">
        <v>121</v>
      </c>
      <c r="D17" s="2" t="e">
        <f aca="false">#N/A</f>
        <v>#N/A</v>
      </c>
      <c r="E17" s="2" t="s">
        <v>27</v>
      </c>
      <c r="F17" s="2" t="s">
        <v>120</v>
      </c>
      <c r="G17" s="2" t="e">
        <f aca="false">#N/A</f>
        <v>#N/A</v>
      </c>
      <c r="H17" s="2" t="e">
        <f aca="false">#N/A</f>
        <v>#N/A</v>
      </c>
      <c r="I17" s="2" t="e">
        <f aca="false">#N/A</f>
        <v>#N/A</v>
      </c>
      <c r="J17" s="2" t="e">
        <f aca="false">#N/A</f>
        <v>#N/A</v>
      </c>
      <c r="K17" s="2" t="e">
        <f aca="false">#N/A</f>
        <v>#N/A</v>
      </c>
      <c r="L17" s="2" t="s">
        <v>28</v>
      </c>
      <c r="M17" s="2" t="s">
        <v>28</v>
      </c>
      <c r="N17" s="2" t="s">
        <v>28</v>
      </c>
      <c r="O17" s="2" t="s">
        <v>28</v>
      </c>
      <c r="P17" s="3" t="b">
        <f aca="false">FALSE()</f>
        <v>0</v>
      </c>
      <c r="Q17" s="2" t="e">
        <f aca="false">#N/A</f>
        <v>#N/A</v>
      </c>
      <c r="R17" s="2" t="e">
        <f aca="false">#N/A</f>
        <v>#N/A</v>
      </c>
      <c r="S17" s="4" t="s">
        <v>122</v>
      </c>
      <c r="T17" s="2" t="s">
        <v>123</v>
      </c>
      <c r="U17" s="2" t="e">
        <f aca="false">#N/A</f>
        <v>#N/A</v>
      </c>
      <c r="V17" s="2" t="s">
        <v>40</v>
      </c>
      <c r="W17" s="2" t="s">
        <v>40</v>
      </c>
    </row>
    <row r="18" customFormat="false" ht="85.05" hidden="false" customHeight="true" outlineLevel="0" collapsed="false">
      <c r="A18" s="2" t="e">
        <f aca="false">#N/A</f>
        <v>#N/A</v>
      </c>
      <c r="B18" s="2" t="s">
        <v>124</v>
      </c>
      <c r="C18" s="2" t="s">
        <v>125</v>
      </c>
      <c r="D18" s="2" t="e">
        <f aca="false">#N/A</f>
        <v>#N/A</v>
      </c>
      <c r="E18" s="2" t="s">
        <v>27</v>
      </c>
      <c r="F18" s="2" t="s">
        <v>124</v>
      </c>
      <c r="G18" s="2" t="e">
        <f aca="false">#N/A</f>
        <v>#N/A</v>
      </c>
      <c r="H18" s="2" t="e">
        <f aca="false">#N/A</f>
        <v>#N/A</v>
      </c>
      <c r="I18" s="2" t="e">
        <f aca="false">#N/A</f>
        <v>#N/A</v>
      </c>
      <c r="J18" s="2" t="e">
        <f aca="false">#N/A</f>
        <v>#N/A</v>
      </c>
      <c r="K18" s="2" t="e">
        <f aca="false">#N/A</f>
        <v>#N/A</v>
      </c>
      <c r="L18" s="2" t="s">
        <v>28</v>
      </c>
      <c r="M18" s="2" t="s">
        <v>28</v>
      </c>
      <c r="N18" s="2" t="s">
        <v>28</v>
      </c>
      <c r="O18" s="2" t="s">
        <v>28</v>
      </c>
      <c r="P18" s="3" t="b">
        <f aca="false">FALSE()</f>
        <v>0</v>
      </c>
      <c r="Q18" s="2" t="e">
        <f aca="false">#N/A</f>
        <v>#N/A</v>
      </c>
      <c r="R18" s="2" t="e">
        <f aca="false">#N/A</f>
        <v>#N/A</v>
      </c>
      <c r="S18" s="4" t="s">
        <v>126</v>
      </c>
      <c r="T18" s="2" t="s">
        <v>127</v>
      </c>
      <c r="U18" s="2" t="e">
        <f aca="false">#N/A</f>
        <v>#N/A</v>
      </c>
      <c r="V18" s="2" t="s">
        <v>40</v>
      </c>
      <c r="W18" s="2" t="s">
        <v>40</v>
      </c>
    </row>
    <row r="19" customFormat="false" ht="85.05" hidden="false" customHeight="true" outlineLevel="0" collapsed="false">
      <c r="A19" s="2" t="e">
        <f aca="false">#N/A</f>
        <v>#N/A</v>
      </c>
      <c r="B19" s="2" t="s">
        <v>128</v>
      </c>
      <c r="C19" s="2" t="s">
        <v>129</v>
      </c>
      <c r="D19" s="2" t="e">
        <f aca="false">#N/A</f>
        <v>#N/A</v>
      </c>
      <c r="E19" s="2" t="s">
        <v>27</v>
      </c>
      <c r="F19" s="2" t="s">
        <v>128</v>
      </c>
      <c r="G19" s="2" t="e">
        <f aca="false">#N/A</f>
        <v>#N/A</v>
      </c>
      <c r="H19" s="2" t="e">
        <f aca="false">#N/A</f>
        <v>#N/A</v>
      </c>
      <c r="I19" s="2" t="e">
        <f aca="false">#N/A</f>
        <v>#N/A</v>
      </c>
      <c r="J19" s="2" t="e">
        <f aca="false">#N/A</f>
        <v>#N/A</v>
      </c>
      <c r="K19" s="2" t="e">
        <f aca="false">#N/A</f>
        <v>#N/A</v>
      </c>
      <c r="L19" s="2" t="s">
        <v>28</v>
      </c>
      <c r="M19" s="2" t="s">
        <v>28</v>
      </c>
      <c r="N19" s="2" t="s">
        <v>28</v>
      </c>
      <c r="O19" s="2" t="s">
        <v>28</v>
      </c>
      <c r="P19" s="3" t="b">
        <f aca="false">FALSE()</f>
        <v>0</v>
      </c>
      <c r="Q19" s="2" t="e">
        <f aca="false">#N/A</f>
        <v>#N/A</v>
      </c>
      <c r="R19" s="2" t="e">
        <f aca="false">#N/A</f>
        <v>#N/A</v>
      </c>
      <c r="S19" s="4" t="s">
        <v>130</v>
      </c>
      <c r="T19" s="2" t="s">
        <v>131</v>
      </c>
      <c r="U19" s="2" t="e">
        <f aca="false">#N/A</f>
        <v>#N/A</v>
      </c>
      <c r="V19" s="2" t="s">
        <v>40</v>
      </c>
      <c r="W19" s="2" t="s">
        <v>40</v>
      </c>
    </row>
    <row r="20" customFormat="false" ht="85.05" hidden="false" customHeight="true" outlineLevel="0" collapsed="false">
      <c r="A20" s="2" t="e">
        <f aca="false">#N/A</f>
        <v>#N/A</v>
      </c>
      <c r="B20" s="2" t="s">
        <v>132</v>
      </c>
      <c r="C20" s="2" t="s">
        <v>133</v>
      </c>
      <c r="D20" s="2" t="e">
        <f aca="false">#N/A</f>
        <v>#N/A</v>
      </c>
      <c r="E20" s="2" t="s">
        <v>27</v>
      </c>
      <c r="F20" s="2" t="s">
        <v>132</v>
      </c>
      <c r="G20" s="2" t="e">
        <f aca="false">#N/A</f>
        <v>#N/A</v>
      </c>
      <c r="H20" s="2" t="e">
        <f aca="false">#N/A</f>
        <v>#N/A</v>
      </c>
      <c r="I20" s="2" t="e">
        <f aca="false">#N/A</f>
        <v>#N/A</v>
      </c>
      <c r="J20" s="2" t="e">
        <f aca="false">#N/A</f>
        <v>#N/A</v>
      </c>
      <c r="K20" s="2" t="e">
        <f aca="false">#N/A</f>
        <v>#N/A</v>
      </c>
      <c r="L20" s="2" t="s">
        <v>28</v>
      </c>
      <c r="M20" s="2" t="s">
        <v>28</v>
      </c>
      <c r="N20" s="2" t="s">
        <v>28</v>
      </c>
      <c r="O20" s="2" t="s">
        <v>28</v>
      </c>
      <c r="P20" s="3" t="b">
        <f aca="false">FALSE()</f>
        <v>0</v>
      </c>
      <c r="Q20" s="2" t="e">
        <f aca="false">#N/A</f>
        <v>#N/A</v>
      </c>
      <c r="R20" s="2" t="e">
        <f aca="false">#N/A</f>
        <v>#N/A</v>
      </c>
      <c r="S20" s="4" t="s">
        <v>134</v>
      </c>
      <c r="T20" s="2" t="s">
        <v>135</v>
      </c>
      <c r="U20" s="2" t="e">
        <f aca="false">#N/A</f>
        <v>#N/A</v>
      </c>
      <c r="V20" s="2" t="s">
        <v>40</v>
      </c>
      <c r="W20" s="2" t="s">
        <v>40</v>
      </c>
    </row>
    <row r="21" customFormat="false" ht="85.05" hidden="false" customHeight="true" outlineLevel="0" collapsed="false">
      <c r="A21" s="2" t="e">
        <f aca="false">#N/A</f>
        <v>#N/A</v>
      </c>
      <c r="B21" s="2" t="s">
        <v>136</v>
      </c>
      <c r="C21" s="2" t="s">
        <v>137</v>
      </c>
      <c r="D21" s="2" t="e">
        <f aca="false">#N/A</f>
        <v>#N/A</v>
      </c>
      <c r="E21" s="2" t="s">
        <v>27</v>
      </c>
      <c r="F21" s="2" t="s">
        <v>136</v>
      </c>
      <c r="G21" s="2" t="e">
        <f aca="false">#N/A</f>
        <v>#N/A</v>
      </c>
      <c r="H21" s="2" t="e">
        <f aca="false">#N/A</f>
        <v>#N/A</v>
      </c>
      <c r="I21" s="2" t="e">
        <f aca="false">#N/A</f>
        <v>#N/A</v>
      </c>
      <c r="J21" s="2" t="e">
        <f aca="false">#N/A</f>
        <v>#N/A</v>
      </c>
      <c r="K21" s="2" t="e">
        <f aca="false">#N/A</f>
        <v>#N/A</v>
      </c>
      <c r="L21" s="2" t="s">
        <v>28</v>
      </c>
      <c r="M21" s="2" t="s">
        <v>28</v>
      </c>
      <c r="N21" s="2" t="s">
        <v>28</v>
      </c>
      <c r="O21" s="2" t="s">
        <v>28</v>
      </c>
      <c r="P21" s="3" t="b">
        <f aca="false">FALSE()</f>
        <v>0</v>
      </c>
      <c r="Q21" s="2" t="e">
        <f aca="false">#N/A</f>
        <v>#N/A</v>
      </c>
      <c r="R21" s="2" t="e">
        <f aca="false">#N/A</f>
        <v>#N/A</v>
      </c>
      <c r="S21" s="4" t="s">
        <v>138</v>
      </c>
      <c r="T21" s="2" t="s">
        <v>139</v>
      </c>
      <c r="U21" s="2" t="e">
        <f aca="false">#N/A</f>
        <v>#N/A</v>
      </c>
      <c r="V21" s="2" t="s">
        <v>40</v>
      </c>
      <c r="W21" s="2" t="s">
        <v>40</v>
      </c>
    </row>
    <row r="22" customFormat="false" ht="85.05" hidden="false" customHeight="true" outlineLevel="0" collapsed="false">
      <c r="A22" s="2" t="e">
        <f aca="false">#N/A</f>
        <v>#N/A</v>
      </c>
      <c r="B22" s="2" t="s">
        <v>140</v>
      </c>
      <c r="C22" s="2" t="s">
        <v>141</v>
      </c>
      <c r="D22" s="2" t="e">
        <f aca="false">#N/A</f>
        <v>#N/A</v>
      </c>
      <c r="E22" s="2" t="s">
        <v>27</v>
      </c>
      <c r="F22" s="2" t="s">
        <v>140</v>
      </c>
      <c r="G22" s="2" t="e">
        <f aca="false">#N/A</f>
        <v>#N/A</v>
      </c>
      <c r="H22" s="2" t="e">
        <f aca="false">#N/A</f>
        <v>#N/A</v>
      </c>
      <c r="I22" s="2" t="e">
        <f aca="false">#N/A</f>
        <v>#N/A</v>
      </c>
      <c r="J22" s="2" t="e">
        <f aca="false">#N/A</f>
        <v>#N/A</v>
      </c>
      <c r="K22" s="2" t="e">
        <f aca="false">#N/A</f>
        <v>#N/A</v>
      </c>
      <c r="L22" s="2" t="s">
        <v>28</v>
      </c>
      <c r="M22" s="2" t="s">
        <v>28</v>
      </c>
      <c r="N22" s="2" t="s">
        <v>28</v>
      </c>
      <c r="O22" s="2" t="s">
        <v>28</v>
      </c>
      <c r="P22" s="3" t="b">
        <f aca="false">FALSE()</f>
        <v>0</v>
      </c>
      <c r="Q22" s="2" t="e">
        <f aca="false">#N/A</f>
        <v>#N/A</v>
      </c>
      <c r="R22" s="2" t="e">
        <f aca="false">#N/A</f>
        <v>#N/A</v>
      </c>
      <c r="S22" s="4" t="s">
        <v>142</v>
      </c>
      <c r="T22" s="2" t="s">
        <v>143</v>
      </c>
      <c r="U22" s="2" t="e">
        <f aca="false">#N/A</f>
        <v>#N/A</v>
      </c>
      <c r="V22" s="2" t="s">
        <v>40</v>
      </c>
      <c r="W22" s="2" t="s">
        <v>40</v>
      </c>
    </row>
    <row r="23" customFormat="false" ht="85.05" hidden="false" customHeight="true" outlineLevel="0" collapsed="false">
      <c r="A23" s="2" t="e">
        <f aca="false">#N/A</f>
        <v>#N/A</v>
      </c>
      <c r="B23" s="2" t="s">
        <v>144</v>
      </c>
      <c r="C23" s="2" t="s">
        <v>145</v>
      </c>
      <c r="D23" s="2" t="e">
        <f aca="false">#N/A</f>
        <v>#N/A</v>
      </c>
      <c r="E23" s="2" t="s">
        <v>27</v>
      </c>
      <c r="F23" s="2" t="s">
        <v>144</v>
      </c>
      <c r="G23" s="2" t="e">
        <f aca="false">#N/A</f>
        <v>#N/A</v>
      </c>
      <c r="H23" s="2" t="e">
        <f aca="false">#N/A</f>
        <v>#N/A</v>
      </c>
      <c r="I23" s="2" t="e">
        <f aca="false">#N/A</f>
        <v>#N/A</v>
      </c>
      <c r="J23" s="2" t="e">
        <f aca="false">#N/A</f>
        <v>#N/A</v>
      </c>
      <c r="K23" s="2" t="e">
        <f aca="false">#N/A</f>
        <v>#N/A</v>
      </c>
      <c r="L23" s="2" t="s">
        <v>28</v>
      </c>
      <c r="M23" s="2" t="s">
        <v>28</v>
      </c>
      <c r="N23" s="2" t="s">
        <v>28</v>
      </c>
      <c r="O23" s="2" t="s">
        <v>28</v>
      </c>
      <c r="P23" s="3" t="b">
        <f aca="false">FALSE()</f>
        <v>0</v>
      </c>
      <c r="Q23" s="2" t="e">
        <f aca="false">#N/A</f>
        <v>#N/A</v>
      </c>
      <c r="R23" s="2" t="e">
        <f aca="false">#N/A</f>
        <v>#N/A</v>
      </c>
      <c r="S23" s="4" t="s">
        <v>146</v>
      </c>
      <c r="T23" s="2" t="s">
        <v>147</v>
      </c>
      <c r="U23" s="2" t="e">
        <f aca="false">#N/A</f>
        <v>#N/A</v>
      </c>
      <c r="V23" s="2" t="s">
        <v>40</v>
      </c>
      <c r="W23" s="2" t="s">
        <v>40</v>
      </c>
    </row>
    <row r="24" customFormat="false" ht="85.05" hidden="false" customHeight="true" outlineLevel="0" collapsed="false">
      <c r="A24" s="2" t="e">
        <f aca="false">#N/A</f>
        <v>#N/A</v>
      </c>
      <c r="B24" s="2" t="s">
        <v>148</v>
      </c>
      <c r="C24" s="2" t="s">
        <v>149</v>
      </c>
      <c r="D24" s="2" t="e">
        <f aca="false">#N/A</f>
        <v>#N/A</v>
      </c>
      <c r="E24" s="2" t="s">
        <v>27</v>
      </c>
      <c r="F24" s="2" t="s">
        <v>148</v>
      </c>
      <c r="G24" s="2" t="e">
        <f aca="false">#N/A</f>
        <v>#N/A</v>
      </c>
      <c r="H24" s="2" t="e">
        <f aca="false">#N/A</f>
        <v>#N/A</v>
      </c>
      <c r="I24" s="2" t="e">
        <f aca="false">#N/A</f>
        <v>#N/A</v>
      </c>
      <c r="J24" s="2" t="e">
        <f aca="false">#N/A</f>
        <v>#N/A</v>
      </c>
      <c r="K24" s="2" t="e">
        <f aca="false">#N/A</f>
        <v>#N/A</v>
      </c>
      <c r="L24" s="2" t="s">
        <v>28</v>
      </c>
      <c r="M24" s="2" t="s">
        <v>28</v>
      </c>
      <c r="N24" s="2" t="s">
        <v>28</v>
      </c>
      <c r="O24" s="2" t="s">
        <v>28</v>
      </c>
      <c r="P24" s="3" t="b">
        <f aca="false">FALSE()</f>
        <v>0</v>
      </c>
      <c r="Q24" s="2" t="e">
        <f aca="false">#N/A</f>
        <v>#N/A</v>
      </c>
      <c r="R24" s="2" t="e">
        <f aca="false">#N/A</f>
        <v>#N/A</v>
      </c>
      <c r="S24" s="4" t="s">
        <v>150</v>
      </c>
      <c r="T24" s="2" t="s">
        <v>151</v>
      </c>
      <c r="U24" s="2" t="e">
        <f aca="false">#N/A</f>
        <v>#N/A</v>
      </c>
      <c r="V24" s="2" t="s">
        <v>40</v>
      </c>
      <c r="W24" s="2" t="s">
        <v>40</v>
      </c>
    </row>
    <row r="25" customFormat="false" ht="85.05" hidden="false" customHeight="true" outlineLevel="0" collapsed="false">
      <c r="A25" s="2" t="e">
        <f aca="false">#N/A</f>
        <v>#N/A</v>
      </c>
      <c r="B25" s="2" t="s">
        <v>152</v>
      </c>
      <c r="C25" s="2" t="s">
        <v>153</v>
      </c>
      <c r="D25" s="2" t="e">
        <f aca="false">#N/A</f>
        <v>#N/A</v>
      </c>
      <c r="E25" s="2" t="s">
        <v>27</v>
      </c>
      <c r="F25" s="2" t="s">
        <v>152</v>
      </c>
      <c r="G25" s="2" t="e">
        <f aca="false">#N/A</f>
        <v>#N/A</v>
      </c>
      <c r="H25" s="2" t="e">
        <f aca="false">#N/A</f>
        <v>#N/A</v>
      </c>
      <c r="I25" s="2" t="e">
        <f aca="false">#N/A</f>
        <v>#N/A</v>
      </c>
      <c r="J25" s="2" t="e">
        <f aca="false">#N/A</f>
        <v>#N/A</v>
      </c>
      <c r="K25" s="2" t="e">
        <f aca="false">#N/A</f>
        <v>#N/A</v>
      </c>
      <c r="L25" s="2" t="s">
        <v>93</v>
      </c>
      <c r="M25" s="2" t="s">
        <v>28</v>
      </c>
      <c r="N25" s="2" t="s">
        <v>93</v>
      </c>
      <c r="O25" s="2" t="s">
        <v>28</v>
      </c>
      <c r="P25" s="3" t="b">
        <f aca="false">TRUE()</f>
        <v>1</v>
      </c>
      <c r="Q25" s="2" t="s">
        <v>154</v>
      </c>
      <c r="R25" s="2" t="s">
        <v>155</v>
      </c>
      <c r="S25" s="4" t="s">
        <v>156</v>
      </c>
      <c r="T25" s="2" t="s">
        <v>157</v>
      </c>
      <c r="U25" s="2" t="s">
        <v>158</v>
      </c>
      <c r="V25" s="2" t="s">
        <v>159</v>
      </c>
      <c r="W25" s="2" t="s">
        <v>159</v>
      </c>
    </row>
    <row r="26" customFormat="false" ht="85.05" hidden="false" customHeight="true" outlineLevel="0" collapsed="false">
      <c r="A26" s="2" t="e">
        <f aca="false">#N/A</f>
        <v>#N/A</v>
      </c>
      <c r="B26" s="2" t="s">
        <v>160</v>
      </c>
      <c r="C26" s="2" t="s">
        <v>161</v>
      </c>
      <c r="D26" s="2" t="e">
        <f aca="false">#N/A</f>
        <v>#N/A</v>
      </c>
      <c r="E26" s="2" t="s">
        <v>27</v>
      </c>
      <c r="F26" s="2" t="s">
        <v>160</v>
      </c>
      <c r="G26" s="2" t="e">
        <f aca="false">#N/A</f>
        <v>#N/A</v>
      </c>
      <c r="H26" s="2" t="e">
        <f aca="false">#N/A</f>
        <v>#N/A</v>
      </c>
      <c r="I26" s="2" t="e">
        <f aca="false">#N/A</f>
        <v>#N/A</v>
      </c>
      <c r="J26" s="2" t="e">
        <f aca="false">#N/A</f>
        <v>#N/A</v>
      </c>
      <c r="K26" s="2" t="e">
        <f aca="false">#N/A</f>
        <v>#N/A</v>
      </c>
      <c r="L26" s="2" t="s">
        <v>28</v>
      </c>
      <c r="M26" s="2" t="s">
        <v>28</v>
      </c>
      <c r="N26" s="2" t="s">
        <v>28</v>
      </c>
      <c r="O26" s="2" t="s">
        <v>28</v>
      </c>
      <c r="P26" s="3" t="b">
        <f aca="false">FALSE()</f>
        <v>0</v>
      </c>
      <c r="Q26" s="2" t="e">
        <f aca="false">#N/A</f>
        <v>#N/A</v>
      </c>
      <c r="R26" s="2" t="e">
        <f aca="false">#N/A</f>
        <v>#N/A</v>
      </c>
      <c r="S26" s="4" t="s">
        <v>162</v>
      </c>
      <c r="T26" s="2" t="s">
        <v>163</v>
      </c>
      <c r="U26" s="2" t="s">
        <v>164</v>
      </c>
      <c r="V26" s="2" t="s">
        <v>165</v>
      </c>
      <c r="W26" s="2" t="s">
        <v>166</v>
      </c>
    </row>
    <row r="27" customFormat="false" ht="85.05" hidden="false" customHeight="true" outlineLevel="0" collapsed="false">
      <c r="A27" s="2" t="e">
        <f aca="false">#N/A</f>
        <v>#N/A</v>
      </c>
      <c r="B27" s="2" t="s">
        <v>167</v>
      </c>
      <c r="C27" s="2" t="s">
        <v>168</v>
      </c>
      <c r="D27" s="2" t="e">
        <f aca="false">#N/A</f>
        <v>#N/A</v>
      </c>
      <c r="E27" s="2" t="s">
        <v>27</v>
      </c>
      <c r="F27" s="2" t="s">
        <v>167</v>
      </c>
      <c r="G27" s="2" t="e">
        <f aca="false">#N/A</f>
        <v>#N/A</v>
      </c>
      <c r="H27" s="2" t="e">
        <f aca="false">#N/A</f>
        <v>#N/A</v>
      </c>
      <c r="I27" s="2" t="e">
        <f aca="false">#N/A</f>
        <v>#N/A</v>
      </c>
      <c r="J27" s="2" t="e">
        <f aca="false">#N/A</f>
        <v>#N/A</v>
      </c>
      <c r="K27" s="2" t="e">
        <f aca="false">#N/A</f>
        <v>#N/A</v>
      </c>
      <c r="L27" s="2" t="s">
        <v>28</v>
      </c>
      <c r="M27" s="2" t="s">
        <v>28</v>
      </c>
      <c r="N27" s="2" t="s">
        <v>28</v>
      </c>
      <c r="O27" s="2" t="s">
        <v>28</v>
      </c>
      <c r="P27" s="3" t="b">
        <f aca="false">FALSE()</f>
        <v>0</v>
      </c>
      <c r="Q27" s="2" t="e">
        <f aca="false">#N/A</f>
        <v>#N/A</v>
      </c>
      <c r="R27" s="2" t="e">
        <f aca="false">#N/A</f>
        <v>#N/A</v>
      </c>
      <c r="S27" s="4" t="s">
        <v>169</v>
      </c>
      <c r="T27" s="2" t="s">
        <v>170</v>
      </c>
      <c r="U27" s="2" t="e">
        <f aca="false">#N/A</f>
        <v>#N/A</v>
      </c>
      <c r="V27" s="2" t="s">
        <v>40</v>
      </c>
      <c r="W27" s="2" t="s">
        <v>40</v>
      </c>
    </row>
    <row r="28" customFormat="false" ht="85.05" hidden="false" customHeight="true" outlineLevel="0" collapsed="false">
      <c r="A28" s="2" t="e">
        <f aca="false">#N/A</f>
        <v>#N/A</v>
      </c>
      <c r="B28" s="2" t="s">
        <v>171</v>
      </c>
      <c r="C28" s="2" t="s">
        <v>172</v>
      </c>
      <c r="D28" s="2" t="e">
        <f aca="false">#N/A</f>
        <v>#N/A</v>
      </c>
      <c r="E28" s="2" t="s">
        <v>27</v>
      </c>
      <c r="F28" s="2" t="s">
        <v>171</v>
      </c>
      <c r="G28" s="2" t="e">
        <f aca="false">#N/A</f>
        <v>#N/A</v>
      </c>
      <c r="H28" s="2" t="e">
        <f aca="false">#N/A</f>
        <v>#N/A</v>
      </c>
      <c r="I28" s="2" t="e">
        <f aca="false">#N/A</f>
        <v>#N/A</v>
      </c>
      <c r="J28" s="2" t="e">
        <f aca="false">#N/A</f>
        <v>#N/A</v>
      </c>
      <c r="K28" s="2" t="e">
        <f aca="false">#N/A</f>
        <v>#N/A</v>
      </c>
      <c r="L28" s="2" t="s">
        <v>28</v>
      </c>
      <c r="M28" s="2" t="s">
        <v>28</v>
      </c>
      <c r="N28" s="2" t="s">
        <v>28</v>
      </c>
      <c r="O28" s="2" t="s">
        <v>28</v>
      </c>
      <c r="P28" s="3" t="b">
        <f aca="false">FALSE()</f>
        <v>0</v>
      </c>
      <c r="Q28" s="2" t="e">
        <f aca="false">#N/A</f>
        <v>#N/A</v>
      </c>
      <c r="R28" s="2" t="e">
        <f aca="false">#N/A</f>
        <v>#N/A</v>
      </c>
      <c r="S28" s="4" t="s">
        <v>173</v>
      </c>
      <c r="T28" s="2" t="s">
        <v>174</v>
      </c>
      <c r="U28" s="2" t="e">
        <f aca="false">#N/A</f>
        <v>#N/A</v>
      </c>
      <c r="V28" s="2" t="s">
        <v>175</v>
      </c>
      <c r="W28" s="2" t="s">
        <v>176</v>
      </c>
    </row>
    <row r="29" customFormat="false" ht="85.05" hidden="false" customHeight="true" outlineLevel="0" collapsed="false">
      <c r="A29" s="2" t="e">
        <f aca="false">#N/A</f>
        <v>#N/A</v>
      </c>
      <c r="B29" s="2" t="s">
        <v>177</v>
      </c>
      <c r="C29" s="2" t="s">
        <v>178</v>
      </c>
      <c r="D29" s="2" t="e">
        <f aca="false">#N/A</f>
        <v>#N/A</v>
      </c>
      <c r="E29" s="2" t="s">
        <v>27</v>
      </c>
      <c r="F29" s="2" t="s">
        <v>177</v>
      </c>
      <c r="G29" s="2" t="e">
        <f aca="false">#N/A</f>
        <v>#N/A</v>
      </c>
      <c r="H29" s="2" t="e">
        <f aca="false">#N/A</f>
        <v>#N/A</v>
      </c>
      <c r="I29" s="2" t="e">
        <f aca="false">#N/A</f>
        <v>#N/A</v>
      </c>
      <c r="J29" s="2" t="e">
        <f aca="false">#N/A</f>
        <v>#N/A</v>
      </c>
      <c r="K29" s="2" t="e">
        <f aca="false">#N/A</f>
        <v>#N/A</v>
      </c>
      <c r="L29" s="2" t="s">
        <v>28</v>
      </c>
      <c r="M29" s="2" t="s">
        <v>28</v>
      </c>
      <c r="N29" s="2" t="s">
        <v>28</v>
      </c>
      <c r="O29" s="2" t="s">
        <v>28</v>
      </c>
      <c r="P29" s="3" t="b">
        <f aca="false">FALSE()</f>
        <v>0</v>
      </c>
      <c r="Q29" s="2" t="e">
        <f aca="false">#N/A</f>
        <v>#N/A</v>
      </c>
      <c r="R29" s="2" t="e">
        <f aca="false">#N/A</f>
        <v>#N/A</v>
      </c>
      <c r="S29" s="4" t="s">
        <v>179</v>
      </c>
      <c r="T29" s="2" t="s">
        <v>180</v>
      </c>
      <c r="U29" s="2" t="e">
        <f aca="false">#N/A</f>
        <v>#N/A</v>
      </c>
      <c r="V29" s="2" t="s">
        <v>40</v>
      </c>
      <c r="W29" s="2" t="s">
        <v>40</v>
      </c>
    </row>
    <row r="30" customFormat="false" ht="85.05" hidden="false" customHeight="true" outlineLevel="0" collapsed="false">
      <c r="A30" s="2" t="e">
        <f aca="false">#N/A</f>
        <v>#N/A</v>
      </c>
      <c r="B30" s="2" t="s">
        <v>181</v>
      </c>
      <c r="C30" s="2" t="s">
        <v>182</v>
      </c>
      <c r="D30" s="2" t="e">
        <f aca="false">#N/A</f>
        <v>#N/A</v>
      </c>
      <c r="E30" s="2" t="s">
        <v>27</v>
      </c>
      <c r="F30" s="2" t="s">
        <v>181</v>
      </c>
      <c r="G30" s="2" t="e">
        <f aca="false">#N/A</f>
        <v>#N/A</v>
      </c>
      <c r="H30" s="2" t="e">
        <f aca="false">#N/A</f>
        <v>#N/A</v>
      </c>
      <c r="I30" s="2" t="e">
        <f aca="false">#N/A</f>
        <v>#N/A</v>
      </c>
      <c r="J30" s="2" t="e">
        <f aca="false">#N/A</f>
        <v>#N/A</v>
      </c>
      <c r="K30" s="2" t="e">
        <f aca="false">#N/A</f>
        <v>#N/A</v>
      </c>
      <c r="L30" s="2" t="s">
        <v>28</v>
      </c>
      <c r="M30" s="2" t="s">
        <v>28</v>
      </c>
      <c r="N30" s="2" t="s">
        <v>28</v>
      </c>
      <c r="O30" s="2" t="s">
        <v>28</v>
      </c>
      <c r="P30" s="3" t="b">
        <f aca="false">FALSE()</f>
        <v>0</v>
      </c>
      <c r="Q30" s="2" t="e">
        <f aca="false">#N/A</f>
        <v>#N/A</v>
      </c>
      <c r="R30" s="2" t="e">
        <f aca="false">#N/A</f>
        <v>#N/A</v>
      </c>
      <c r="S30" s="4" t="s">
        <v>183</v>
      </c>
      <c r="T30" s="2" t="s">
        <v>184</v>
      </c>
      <c r="U30" s="2" t="e">
        <f aca="false">#N/A</f>
        <v>#N/A</v>
      </c>
      <c r="V30" s="2" t="s">
        <v>40</v>
      </c>
      <c r="W30" s="2" t="s">
        <v>40</v>
      </c>
    </row>
    <row r="31" customFormat="false" ht="85.05" hidden="false" customHeight="true" outlineLevel="0" collapsed="false">
      <c r="A31" s="2" t="e">
        <f aca="false">#N/A</f>
        <v>#N/A</v>
      </c>
      <c r="B31" s="2" t="s">
        <v>185</v>
      </c>
      <c r="C31" s="2" t="s">
        <v>186</v>
      </c>
      <c r="D31" s="2" t="e">
        <f aca="false">#N/A</f>
        <v>#N/A</v>
      </c>
      <c r="E31" s="2" t="s">
        <v>27</v>
      </c>
      <c r="F31" s="2" t="s">
        <v>185</v>
      </c>
      <c r="G31" s="2" t="e">
        <f aca="false">#N/A</f>
        <v>#N/A</v>
      </c>
      <c r="H31" s="2" t="e">
        <f aca="false">#N/A</f>
        <v>#N/A</v>
      </c>
      <c r="I31" s="2" t="e">
        <f aca="false">#N/A</f>
        <v>#N/A</v>
      </c>
      <c r="J31" s="2" t="e">
        <f aca="false">#N/A</f>
        <v>#N/A</v>
      </c>
      <c r="K31" s="2" t="e">
        <f aca="false">#N/A</f>
        <v>#N/A</v>
      </c>
      <c r="L31" s="2" t="s">
        <v>28</v>
      </c>
      <c r="M31" s="2" t="s">
        <v>28</v>
      </c>
      <c r="N31" s="2" t="s">
        <v>28</v>
      </c>
      <c r="O31" s="2" t="s">
        <v>28</v>
      </c>
      <c r="P31" s="3" t="b">
        <f aca="false">FALSE()</f>
        <v>0</v>
      </c>
      <c r="Q31" s="2" t="e">
        <f aca="false">#N/A</f>
        <v>#N/A</v>
      </c>
      <c r="R31" s="2" t="e">
        <f aca="false">#N/A</f>
        <v>#N/A</v>
      </c>
      <c r="S31" s="4" t="s">
        <v>187</v>
      </c>
      <c r="T31" s="2" t="s">
        <v>188</v>
      </c>
      <c r="U31" s="2" t="s">
        <v>189</v>
      </c>
      <c r="V31" s="2" t="s">
        <v>190</v>
      </c>
      <c r="W31" s="2" t="s">
        <v>190</v>
      </c>
    </row>
    <row r="32" customFormat="false" ht="85.05" hidden="false" customHeight="true" outlineLevel="0" collapsed="false">
      <c r="A32" s="2" t="e">
        <f aca="false">#N/A</f>
        <v>#N/A</v>
      </c>
      <c r="B32" s="2" t="s">
        <v>191</v>
      </c>
      <c r="C32" s="2" t="s">
        <v>192</v>
      </c>
      <c r="D32" s="2" t="e">
        <f aca="false">#N/A</f>
        <v>#N/A</v>
      </c>
      <c r="E32" s="2" t="s">
        <v>27</v>
      </c>
      <c r="F32" s="2" t="s">
        <v>191</v>
      </c>
      <c r="G32" s="2" t="e">
        <f aca="false">#N/A</f>
        <v>#N/A</v>
      </c>
      <c r="H32" s="2" t="e">
        <f aca="false">#N/A</f>
        <v>#N/A</v>
      </c>
      <c r="I32" s="2" t="e">
        <f aca="false">#N/A</f>
        <v>#N/A</v>
      </c>
      <c r="J32" s="2" t="e">
        <f aca="false">#N/A</f>
        <v>#N/A</v>
      </c>
      <c r="K32" s="2" t="e">
        <f aca="false">#N/A</f>
        <v>#N/A</v>
      </c>
      <c r="L32" s="2" t="s">
        <v>28</v>
      </c>
      <c r="M32" s="2" t="s">
        <v>28</v>
      </c>
      <c r="N32" s="2" t="s">
        <v>28</v>
      </c>
      <c r="O32" s="2" t="s">
        <v>28</v>
      </c>
      <c r="P32" s="3" t="b">
        <f aca="false">FALSE()</f>
        <v>0</v>
      </c>
      <c r="Q32" s="2" t="e">
        <f aca="false">#N/A</f>
        <v>#N/A</v>
      </c>
      <c r="R32" s="2" t="e">
        <f aca="false">#N/A</f>
        <v>#N/A</v>
      </c>
      <c r="S32" s="4" t="s">
        <v>193</v>
      </c>
      <c r="T32" s="2" t="s">
        <v>194</v>
      </c>
      <c r="U32" s="2" t="s">
        <v>195</v>
      </c>
      <c r="V32" s="2" t="s">
        <v>196</v>
      </c>
      <c r="W32" s="2" t="s">
        <v>196</v>
      </c>
    </row>
    <row r="33" customFormat="false" ht="85.05" hidden="false" customHeight="true" outlineLevel="0" collapsed="false">
      <c r="A33" s="2" t="e">
        <f aca="false">#N/A</f>
        <v>#N/A</v>
      </c>
      <c r="B33" s="2" t="s">
        <v>197</v>
      </c>
      <c r="C33" s="2" t="s">
        <v>198</v>
      </c>
      <c r="D33" s="2" t="e">
        <f aca="false">#N/A</f>
        <v>#N/A</v>
      </c>
      <c r="E33" s="2" t="s">
        <v>27</v>
      </c>
      <c r="F33" s="2" t="s">
        <v>197</v>
      </c>
      <c r="G33" s="2" t="e">
        <f aca="false">#N/A</f>
        <v>#N/A</v>
      </c>
      <c r="H33" s="2" t="e">
        <f aca="false">#N/A</f>
        <v>#N/A</v>
      </c>
      <c r="I33" s="2" t="e">
        <f aca="false">#N/A</f>
        <v>#N/A</v>
      </c>
      <c r="J33" s="2" t="e">
        <f aca="false">#N/A</f>
        <v>#N/A</v>
      </c>
      <c r="K33" s="2" t="e">
        <f aca="false">#N/A</f>
        <v>#N/A</v>
      </c>
      <c r="L33" s="2" t="s">
        <v>28</v>
      </c>
      <c r="M33" s="2" t="s">
        <v>28</v>
      </c>
      <c r="N33" s="2" t="s">
        <v>28</v>
      </c>
      <c r="O33" s="2" t="s">
        <v>28</v>
      </c>
      <c r="P33" s="3" t="b">
        <f aca="false">FALSE()</f>
        <v>0</v>
      </c>
      <c r="Q33" s="2" t="e">
        <f aca="false">#N/A</f>
        <v>#N/A</v>
      </c>
      <c r="R33" s="2" t="e">
        <f aca="false">#N/A</f>
        <v>#N/A</v>
      </c>
      <c r="S33" s="4" t="s">
        <v>199</v>
      </c>
      <c r="T33" s="2" t="s">
        <v>200</v>
      </c>
      <c r="U33" s="2" t="s">
        <v>201</v>
      </c>
      <c r="V33" s="2" t="s">
        <v>202</v>
      </c>
      <c r="W33" s="2" t="s">
        <v>202</v>
      </c>
    </row>
    <row r="34" customFormat="false" ht="85.05" hidden="false" customHeight="true" outlineLevel="0" collapsed="false">
      <c r="A34" s="2" t="e">
        <f aca="false">#N/A</f>
        <v>#N/A</v>
      </c>
      <c r="B34" s="2" t="s">
        <v>203</v>
      </c>
      <c r="C34" s="2" t="s">
        <v>204</v>
      </c>
      <c r="D34" s="2" t="e">
        <f aca="false">#N/A</f>
        <v>#N/A</v>
      </c>
      <c r="E34" s="2" t="s">
        <v>27</v>
      </c>
      <c r="F34" s="2" t="s">
        <v>203</v>
      </c>
      <c r="G34" s="2" t="e">
        <f aca="false">#N/A</f>
        <v>#N/A</v>
      </c>
      <c r="H34" s="2" t="e">
        <f aca="false">#N/A</f>
        <v>#N/A</v>
      </c>
      <c r="I34" s="2" t="e">
        <f aca="false">#N/A</f>
        <v>#N/A</v>
      </c>
      <c r="J34" s="2" t="e">
        <f aca="false">#N/A</f>
        <v>#N/A</v>
      </c>
      <c r="K34" s="2" t="e">
        <f aca="false">#N/A</f>
        <v>#N/A</v>
      </c>
      <c r="L34" s="2" t="s">
        <v>28</v>
      </c>
      <c r="M34" s="2" t="s">
        <v>28</v>
      </c>
      <c r="N34" s="2" t="s">
        <v>28</v>
      </c>
      <c r="O34" s="2" t="s">
        <v>28</v>
      </c>
      <c r="P34" s="3" t="b">
        <f aca="false">FALSE()</f>
        <v>0</v>
      </c>
      <c r="Q34" s="2" t="e">
        <f aca="false">#N/A</f>
        <v>#N/A</v>
      </c>
      <c r="R34" s="2" t="e">
        <f aca="false">#N/A</f>
        <v>#N/A</v>
      </c>
      <c r="S34" s="4" t="s">
        <v>205</v>
      </c>
      <c r="T34" s="2" t="s">
        <v>206</v>
      </c>
      <c r="U34" s="2" t="e">
        <f aca="false">#N/A</f>
        <v>#N/A</v>
      </c>
      <c r="V34" s="2" t="s">
        <v>40</v>
      </c>
      <c r="W34" s="2" t="s">
        <v>40</v>
      </c>
    </row>
    <row r="35" customFormat="false" ht="85.05" hidden="false" customHeight="true" outlineLevel="0" collapsed="false">
      <c r="A35" s="2" t="e">
        <f aca="false">#N/A</f>
        <v>#N/A</v>
      </c>
      <c r="B35" s="2" t="s">
        <v>207</v>
      </c>
      <c r="C35" s="2" t="s">
        <v>208</v>
      </c>
      <c r="D35" s="2" t="e">
        <f aca="false">#N/A</f>
        <v>#N/A</v>
      </c>
      <c r="E35" s="2" t="s">
        <v>27</v>
      </c>
      <c r="F35" s="2" t="s">
        <v>207</v>
      </c>
      <c r="G35" s="2" t="e">
        <f aca="false">#N/A</f>
        <v>#N/A</v>
      </c>
      <c r="H35" s="2" t="e">
        <f aca="false">#N/A</f>
        <v>#N/A</v>
      </c>
      <c r="I35" s="2" t="e">
        <f aca="false">#N/A</f>
        <v>#N/A</v>
      </c>
      <c r="J35" s="2" t="e">
        <f aca="false">#N/A</f>
        <v>#N/A</v>
      </c>
      <c r="K35" s="2" t="e">
        <f aca="false">#N/A</f>
        <v>#N/A</v>
      </c>
      <c r="L35" s="2" t="s">
        <v>28</v>
      </c>
      <c r="M35" s="2" t="s">
        <v>28</v>
      </c>
      <c r="N35" s="2" t="s">
        <v>28</v>
      </c>
      <c r="O35" s="2" t="s">
        <v>28</v>
      </c>
      <c r="P35" s="3" t="b">
        <f aca="false">FALSE()</f>
        <v>0</v>
      </c>
      <c r="Q35" s="2" t="e">
        <f aca="false">#N/A</f>
        <v>#N/A</v>
      </c>
      <c r="R35" s="2" t="e">
        <f aca="false">#N/A</f>
        <v>#N/A</v>
      </c>
      <c r="S35" s="4" t="s">
        <v>209</v>
      </c>
      <c r="T35" s="2" t="s">
        <v>210</v>
      </c>
      <c r="U35" s="2" t="e">
        <f aca="false">#N/A</f>
        <v>#N/A</v>
      </c>
      <c r="V35" s="2" t="s">
        <v>40</v>
      </c>
      <c r="W35" s="2" t="s">
        <v>40</v>
      </c>
    </row>
    <row r="36" customFormat="false" ht="85.05" hidden="false" customHeight="true" outlineLevel="0" collapsed="false">
      <c r="A36" s="2" t="e">
        <f aca="false">#N/A</f>
        <v>#N/A</v>
      </c>
      <c r="B36" s="2" t="s">
        <v>211</v>
      </c>
      <c r="C36" s="2" t="s">
        <v>212</v>
      </c>
      <c r="D36" s="2" t="e">
        <f aca="false">#N/A</f>
        <v>#N/A</v>
      </c>
      <c r="E36" s="2" t="s">
        <v>27</v>
      </c>
      <c r="F36" s="2" t="s">
        <v>211</v>
      </c>
      <c r="G36" s="2" t="e">
        <f aca="false">#N/A</f>
        <v>#N/A</v>
      </c>
      <c r="H36" s="2" t="e">
        <f aca="false">#N/A</f>
        <v>#N/A</v>
      </c>
      <c r="I36" s="2" t="e">
        <f aca="false">#N/A</f>
        <v>#N/A</v>
      </c>
      <c r="J36" s="2" t="e">
        <f aca="false">#N/A</f>
        <v>#N/A</v>
      </c>
      <c r="K36" s="2" t="e">
        <f aca="false">#N/A</f>
        <v>#N/A</v>
      </c>
      <c r="L36" s="2" t="s">
        <v>28</v>
      </c>
      <c r="M36" s="2" t="s">
        <v>28</v>
      </c>
      <c r="N36" s="2" t="s">
        <v>28</v>
      </c>
      <c r="O36" s="2" t="s">
        <v>28</v>
      </c>
      <c r="P36" s="3" t="b">
        <f aca="false">FALSE()</f>
        <v>0</v>
      </c>
      <c r="Q36" s="2" t="e">
        <f aca="false">#N/A</f>
        <v>#N/A</v>
      </c>
      <c r="R36" s="2" t="e">
        <f aca="false">#N/A</f>
        <v>#N/A</v>
      </c>
      <c r="S36" s="4" t="s">
        <v>213</v>
      </c>
      <c r="T36" s="2" t="s">
        <v>214</v>
      </c>
      <c r="U36" s="2" t="e">
        <f aca="false">#N/A</f>
        <v>#N/A</v>
      </c>
      <c r="V36" s="2" t="s">
        <v>40</v>
      </c>
      <c r="W36" s="2" t="s">
        <v>40</v>
      </c>
    </row>
    <row r="37" customFormat="false" ht="85.05" hidden="false" customHeight="true" outlineLevel="0" collapsed="false">
      <c r="A37" s="2" t="e">
        <f aca="false">#N/A</f>
        <v>#N/A</v>
      </c>
      <c r="B37" s="2" t="s">
        <v>215</v>
      </c>
      <c r="C37" s="2" t="s">
        <v>216</v>
      </c>
      <c r="D37" s="2" t="e">
        <f aca="false">#N/A</f>
        <v>#N/A</v>
      </c>
      <c r="E37" s="2" t="s">
        <v>27</v>
      </c>
      <c r="F37" s="2" t="s">
        <v>215</v>
      </c>
      <c r="G37" s="2" t="e">
        <f aca="false">#N/A</f>
        <v>#N/A</v>
      </c>
      <c r="H37" s="2" t="e">
        <f aca="false">#N/A</f>
        <v>#N/A</v>
      </c>
      <c r="I37" s="2" t="e">
        <f aca="false">#N/A</f>
        <v>#N/A</v>
      </c>
      <c r="J37" s="2" t="e">
        <f aca="false">#N/A</f>
        <v>#N/A</v>
      </c>
      <c r="K37" s="2" t="e">
        <f aca="false">#N/A</f>
        <v>#N/A</v>
      </c>
      <c r="L37" s="2" t="s">
        <v>28</v>
      </c>
      <c r="M37" s="2" t="s">
        <v>28</v>
      </c>
      <c r="N37" s="2" t="s">
        <v>28</v>
      </c>
      <c r="O37" s="2" t="s">
        <v>28</v>
      </c>
      <c r="P37" s="3" t="b">
        <f aca="false">FALSE()</f>
        <v>0</v>
      </c>
      <c r="Q37" s="2" t="e">
        <f aca="false">#N/A</f>
        <v>#N/A</v>
      </c>
      <c r="R37" s="2" t="s">
        <v>217</v>
      </c>
      <c r="S37" s="4" t="s">
        <v>218</v>
      </c>
      <c r="T37" s="2" t="s">
        <v>219</v>
      </c>
      <c r="U37" s="2" t="e">
        <f aca="false">#N/A</f>
        <v>#N/A</v>
      </c>
      <c r="V37" s="2" t="s">
        <v>220</v>
      </c>
      <c r="W37" s="2" t="s">
        <v>220</v>
      </c>
    </row>
    <row r="38" customFormat="false" ht="85.05" hidden="false" customHeight="true" outlineLevel="0" collapsed="false">
      <c r="A38" s="2" t="e">
        <f aca="false">#N/A</f>
        <v>#N/A</v>
      </c>
      <c r="B38" s="2" t="s">
        <v>221</v>
      </c>
      <c r="C38" s="2" t="s">
        <v>222</v>
      </c>
      <c r="D38" s="2" t="e">
        <f aca="false">#N/A</f>
        <v>#N/A</v>
      </c>
      <c r="E38" s="2" t="s">
        <v>27</v>
      </c>
      <c r="F38" s="2" t="s">
        <v>221</v>
      </c>
      <c r="G38" s="2" t="e">
        <f aca="false">#N/A</f>
        <v>#N/A</v>
      </c>
      <c r="H38" s="2" t="e">
        <f aca="false">#N/A</f>
        <v>#N/A</v>
      </c>
      <c r="I38" s="2" t="e">
        <f aca="false">#N/A</f>
        <v>#N/A</v>
      </c>
      <c r="J38" s="2" t="e">
        <f aca="false">#N/A</f>
        <v>#N/A</v>
      </c>
      <c r="K38" s="2" t="e">
        <f aca="false">#N/A</f>
        <v>#N/A</v>
      </c>
      <c r="L38" s="2" t="s">
        <v>28</v>
      </c>
      <c r="M38" s="2" t="s">
        <v>28</v>
      </c>
      <c r="N38" s="2" t="s">
        <v>28</v>
      </c>
      <c r="O38" s="2" t="s">
        <v>28</v>
      </c>
      <c r="P38" s="3" t="b">
        <f aca="false">FALSE()</f>
        <v>0</v>
      </c>
      <c r="Q38" s="2" t="e">
        <f aca="false">#N/A</f>
        <v>#N/A</v>
      </c>
      <c r="R38" s="2" t="e">
        <f aca="false">#N/A</f>
        <v>#N/A</v>
      </c>
      <c r="S38" s="4" t="s">
        <v>223</v>
      </c>
      <c r="T38" s="2" t="s">
        <v>224</v>
      </c>
      <c r="U38" s="2" t="e">
        <f aca="false">#N/A</f>
        <v>#N/A</v>
      </c>
      <c r="V38" s="2" t="s">
        <v>225</v>
      </c>
      <c r="W38" s="2" t="s">
        <v>226</v>
      </c>
    </row>
    <row r="39" customFormat="false" ht="85.05" hidden="false" customHeight="true" outlineLevel="0" collapsed="false">
      <c r="A39" s="2" t="e">
        <f aca="false">#N/A</f>
        <v>#N/A</v>
      </c>
      <c r="B39" s="2" t="s">
        <v>227</v>
      </c>
      <c r="C39" s="2" t="s">
        <v>228</v>
      </c>
      <c r="D39" s="2" t="e">
        <f aca="false">#N/A</f>
        <v>#N/A</v>
      </c>
      <c r="E39" s="2" t="s">
        <v>27</v>
      </c>
      <c r="F39" s="2" t="s">
        <v>227</v>
      </c>
      <c r="G39" s="2" t="e">
        <f aca="false">#N/A</f>
        <v>#N/A</v>
      </c>
      <c r="H39" s="2" t="e">
        <f aca="false">#N/A</f>
        <v>#N/A</v>
      </c>
      <c r="I39" s="2" t="e">
        <f aca="false">#N/A</f>
        <v>#N/A</v>
      </c>
      <c r="J39" s="2" t="e">
        <f aca="false">#N/A</f>
        <v>#N/A</v>
      </c>
      <c r="K39" s="2" t="e">
        <f aca="false">#N/A</f>
        <v>#N/A</v>
      </c>
      <c r="L39" s="2" t="s">
        <v>28</v>
      </c>
      <c r="M39" s="2" t="s">
        <v>28</v>
      </c>
      <c r="N39" s="2" t="s">
        <v>28</v>
      </c>
      <c r="O39" s="2" t="s">
        <v>28</v>
      </c>
      <c r="P39" s="3" t="b">
        <f aca="false">FALSE()</f>
        <v>0</v>
      </c>
      <c r="Q39" s="2" t="e">
        <f aca="false">#N/A</f>
        <v>#N/A</v>
      </c>
      <c r="R39" s="2" t="e">
        <f aca="false">#N/A</f>
        <v>#N/A</v>
      </c>
      <c r="S39" s="4" t="s">
        <v>229</v>
      </c>
      <c r="T39" s="2" t="s">
        <v>230</v>
      </c>
      <c r="U39" s="2" t="e">
        <f aca="false">#N/A</f>
        <v>#N/A</v>
      </c>
      <c r="V39" s="2" t="s">
        <v>40</v>
      </c>
      <c r="W39" s="2" t="s">
        <v>40</v>
      </c>
    </row>
    <row r="40" customFormat="false" ht="85.05" hidden="false" customHeight="true" outlineLevel="0" collapsed="false">
      <c r="A40" s="2" t="e">
        <f aca="false">#N/A</f>
        <v>#N/A</v>
      </c>
      <c r="B40" s="2" t="s">
        <v>231</v>
      </c>
      <c r="C40" s="2" t="s">
        <v>232</v>
      </c>
      <c r="D40" s="2" t="e">
        <f aca="false">#N/A</f>
        <v>#N/A</v>
      </c>
      <c r="E40" s="2" t="s">
        <v>27</v>
      </c>
      <c r="F40" s="2" t="s">
        <v>231</v>
      </c>
      <c r="G40" s="2" t="e">
        <f aca="false">#N/A</f>
        <v>#N/A</v>
      </c>
      <c r="H40" s="2" t="e">
        <f aca="false">#N/A</f>
        <v>#N/A</v>
      </c>
      <c r="I40" s="2" t="e">
        <f aca="false">#N/A</f>
        <v>#N/A</v>
      </c>
      <c r="J40" s="2" t="e">
        <f aca="false">#N/A</f>
        <v>#N/A</v>
      </c>
      <c r="K40" s="2" t="e">
        <f aca="false">#N/A</f>
        <v>#N/A</v>
      </c>
      <c r="L40" s="2" t="s">
        <v>28</v>
      </c>
      <c r="M40" s="2" t="s">
        <v>28</v>
      </c>
      <c r="N40" s="2" t="s">
        <v>28</v>
      </c>
      <c r="O40" s="2" t="s">
        <v>28</v>
      </c>
      <c r="P40" s="3" t="b">
        <f aca="false">FALSE()</f>
        <v>0</v>
      </c>
      <c r="Q40" s="2" t="e">
        <f aca="false">#N/A</f>
        <v>#N/A</v>
      </c>
      <c r="R40" s="2" t="e">
        <f aca="false">#N/A</f>
        <v>#N/A</v>
      </c>
      <c r="S40" s="4" t="s">
        <v>233</v>
      </c>
      <c r="T40" s="2" t="s">
        <v>234</v>
      </c>
      <c r="U40" s="2" t="e">
        <f aca="false">#N/A</f>
        <v>#N/A</v>
      </c>
      <c r="V40" s="2" t="s">
        <v>40</v>
      </c>
      <c r="W40" s="2" t="s">
        <v>40</v>
      </c>
    </row>
    <row r="41" customFormat="false" ht="85.05" hidden="false" customHeight="true" outlineLevel="0" collapsed="false">
      <c r="A41" s="2" t="e">
        <f aca="false">#N/A</f>
        <v>#N/A</v>
      </c>
      <c r="B41" s="2" t="s">
        <v>235</v>
      </c>
      <c r="C41" s="2" t="s">
        <v>236</v>
      </c>
      <c r="D41" s="2" t="e">
        <f aca="false">#N/A</f>
        <v>#N/A</v>
      </c>
      <c r="E41" s="2" t="s">
        <v>27</v>
      </c>
      <c r="F41" s="2" t="s">
        <v>235</v>
      </c>
      <c r="G41" s="2" t="e">
        <f aca="false">#N/A</f>
        <v>#N/A</v>
      </c>
      <c r="H41" s="2" t="e">
        <f aca="false">#N/A</f>
        <v>#N/A</v>
      </c>
      <c r="I41" s="2" t="e">
        <f aca="false">#N/A</f>
        <v>#N/A</v>
      </c>
      <c r="J41" s="2" t="e">
        <f aca="false">#N/A</f>
        <v>#N/A</v>
      </c>
      <c r="K41" s="2" t="e">
        <f aca="false">#N/A</f>
        <v>#N/A</v>
      </c>
      <c r="L41" s="2" t="s">
        <v>28</v>
      </c>
      <c r="M41" s="2" t="s">
        <v>28</v>
      </c>
      <c r="N41" s="2" t="s">
        <v>28</v>
      </c>
      <c r="O41" s="2" t="s">
        <v>28</v>
      </c>
      <c r="P41" s="3" t="b">
        <f aca="false">FALSE()</f>
        <v>0</v>
      </c>
      <c r="Q41" s="2" t="e">
        <f aca="false">#N/A</f>
        <v>#N/A</v>
      </c>
      <c r="R41" s="2" t="e">
        <f aca="false">#N/A</f>
        <v>#N/A</v>
      </c>
      <c r="S41" s="4" t="s">
        <v>237</v>
      </c>
      <c r="T41" s="2" t="s">
        <v>238</v>
      </c>
      <c r="U41" s="2" t="e">
        <f aca="false">#N/A</f>
        <v>#N/A</v>
      </c>
      <c r="V41" s="2" t="s">
        <v>40</v>
      </c>
      <c r="W41" s="2" t="s">
        <v>40</v>
      </c>
    </row>
    <row r="42" customFormat="false" ht="85.05" hidden="false" customHeight="true" outlineLevel="0" collapsed="false">
      <c r="A42" s="2" t="e">
        <f aca="false">#N/A</f>
        <v>#N/A</v>
      </c>
      <c r="B42" s="2" t="s">
        <v>239</v>
      </c>
      <c r="C42" s="2" t="s">
        <v>240</v>
      </c>
      <c r="D42" s="2" t="e">
        <f aca="false">#N/A</f>
        <v>#N/A</v>
      </c>
      <c r="E42" s="2" t="s">
        <v>27</v>
      </c>
      <c r="F42" s="2" t="s">
        <v>239</v>
      </c>
      <c r="G42" s="2" t="e">
        <f aca="false">#N/A</f>
        <v>#N/A</v>
      </c>
      <c r="H42" s="2" t="e">
        <f aca="false">#N/A</f>
        <v>#N/A</v>
      </c>
      <c r="I42" s="2" t="e">
        <f aca="false">#N/A</f>
        <v>#N/A</v>
      </c>
      <c r="J42" s="2" t="e">
        <f aca="false">#N/A</f>
        <v>#N/A</v>
      </c>
      <c r="K42" s="2" t="e">
        <f aca="false">#N/A</f>
        <v>#N/A</v>
      </c>
      <c r="L42" s="2" t="s">
        <v>28</v>
      </c>
      <c r="M42" s="2" t="s">
        <v>28</v>
      </c>
      <c r="N42" s="2" t="s">
        <v>28</v>
      </c>
      <c r="O42" s="2" t="s">
        <v>28</v>
      </c>
      <c r="P42" s="3" t="b">
        <f aca="false">FALSE()</f>
        <v>0</v>
      </c>
      <c r="Q42" s="2" t="e">
        <f aca="false">#N/A</f>
        <v>#N/A</v>
      </c>
      <c r="R42" s="2" t="e">
        <f aca="false">#N/A</f>
        <v>#N/A</v>
      </c>
      <c r="S42" s="4" t="s">
        <v>241</v>
      </c>
      <c r="T42" s="2" t="s">
        <v>242</v>
      </c>
      <c r="U42" s="2" t="e">
        <f aca="false">#N/A</f>
        <v>#N/A</v>
      </c>
      <c r="V42" s="2" t="s">
        <v>63</v>
      </c>
      <c r="W42" s="2" t="s">
        <v>40</v>
      </c>
    </row>
    <row r="43" customFormat="false" ht="85.05" hidden="false" customHeight="true" outlineLevel="0" collapsed="false">
      <c r="A43" s="2" t="e">
        <f aca="false">#N/A</f>
        <v>#N/A</v>
      </c>
      <c r="B43" s="2" t="s">
        <v>243</v>
      </c>
      <c r="C43" s="2" t="s">
        <v>244</v>
      </c>
      <c r="D43" s="2" t="e">
        <f aca="false">#N/A</f>
        <v>#N/A</v>
      </c>
      <c r="E43" s="2" t="s">
        <v>27</v>
      </c>
      <c r="F43" s="2" t="s">
        <v>243</v>
      </c>
      <c r="G43" s="2" t="e">
        <f aca="false">#N/A</f>
        <v>#N/A</v>
      </c>
      <c r="H43" s="2" t="e">
        <f aca="false">#N/A</f>
        <v>#N/A</v>
      </c>
      <c r="I43" s="2" t="e">
        <f aca="false">#N/A</f>
        <v>#N/A</v>
      </c>
      <c r="J43" s="2" t="e">
        <f aca="false">#N/A</f>
        <v>#N/A</v>
      </c>
      <c r="K43" s="2" t="e">
        <f aca="false">#N/A</f>
        <v>#N/A</v>
      </c>
      <c r="L43" s="2" t="s">
        <v>28</v>
      </c>
      <c r="M43" s="2" t="s">
        <v>28</v>
      </c>
      <c r="N43" s="2" t="s">
        <v>28</v>
      </c>
      <c r="O43" s="2" t="s">
        <v>28</v>
      </c>
      <c r="P43" s="3" t="b">
        <f aca="false">FALSE()</f>
        <v>0</v>
      </c>
      <c r="Q43" s="2" t="e">
        <f aca="false">#N/A</f>
        <v>#N/A</v>
      </c>
      <c r="R43" s="2" t="e">
        <f aca="false">#N/A</f>
        <v>#N/A</v>
      </c>
      <c r="S43" s="4" t="s">
        <v>245</v>
      </c>
      <c r="T43" s="2" t="s">
        <v>246</v>
      </c>
      <c r="U43" s="2" t="e">
        <f aca="false">#N/A</f>
        <v>#N/A</v>
      </c>
      <c r="V43" s="2" t="s">
        <v>40</v>
      </c>
      <c r="W43" s="2" t="s">
        <v>40</v>
      </c>
    </row>
    <row r="44" customFormat="false" ht="85.05" hidden="false" customHeight="true" outlineLevel="0" collapsed="false">
      <c r="A44" s="2" t="e">
        <f aca="false">#N/A</f>
        <v>#N/A</v>
      </c>
      <c r="B44" s="2" t="s">
        <v>247</v>
      </c>
      <c r="C44" s="2" t="s">
        <v>248</v>
      </c>
      <c r="D44" s="2" t="e">
        <f aca="false">#N/A</f>
        <v>#N/A</v>
      </c>
      <c r="E44" s="2" t="s">
        <v>27</v>
      </c>
      <c r="F44" s="2" t="s">
        <v>247</v>
      </c>
      <c r="G44" s="2" t="e">
        <f aca="false">#N/A</f>
        <v>#N/A</v>
      </c>
      <c r="H44" s="2" t="e">
        <f aca="false">#N/A</f>
        <v>#N/A</v>
      </c>
      <c r="I44" s="2" t="e">
        <f aca="false">#N/A</f>
        <v>#N/A</v>
      </c>
      <c r="J44" s="2" t="e">
        <f aca="false">#N/A</f>
        <v>#N/A</v>
      </c>
      <c r="K44" s="2" t="e">
        <f aca="false">#N/A</f>
        <v>#N/A</v>
      </c>
      <c r="L44" s="2" t="s">
        <v>28</v>
      </c>
      <c r="M44" s="2" t="s">
        <v>28</v>
      </c>
      <c r="N44" s="2" t="s">
        <v>28</v>
      </c>
      <c r="O44" s="2" t="s">
        <v>28</v>
      </c>
      <c r="P44" s="3" t="b">
        <f aca="false">FALSE()</f>
        <v>0</v>
      </c>
      <c r="Q44" s="2" t="e">
        <f aca="false">#N/A</f>
        <v>#N/A</v>
      </c>
      <c r="R44" s="2" t="e">
        <f aca="false">#N/A</f>
        <v>#N/A</v>
      </c>
      <c r="S44" s="4" t="s">
        <v>249</v>
      </c>
      <c r="T44" s="2" t="s">
        <v>250</v>
      </c>
      <c r="U44" s="2" t="s">
        <v>251</v>
      </c>
      <c r="V44" s="2" t="s">
        <v>252</v>
      </c>
      <c r="W44" s="2" t="s">
        <v>252</v>
      </c>
    </row>
    <row r="45" customFormat="false" ht="85.05" hidden="false" customHeight="true" outlineLevel="0" collapsed="false">
      <c r="A45" s="2" t="e">
        <f aca="false">#N/A</f>
        <v>#N/A</v>
      </c>
      <c r="B45" s="2" t="s">
        <v>253</v>
      </c>
      <c r="C45" s="2" t="s">
        <v>254</v>
      </c>
      <c r="D45" s="2" t="e">
        <f aca="false">#N/A</f>
        <v>#N/A</v>
      </c>
      <c r="E45" s="2" t="s">
        <v>27</v>
      </c>
      <c r="F45" s="2" t="s">
        <v>253</v>
      </c>
      <c r="G45" s="2" t="e">
        <f aca="false">#N/A</f>
        <v>#N/A</v>
      </c>
      <c r="H45" s="2" t="e">
        <f aca="false">#N/A</f>
        <v>#N/A</v>
      </c>
      <c r="I45" s="2" t="e">
        <f aca="false">#N/A</f>
        <v>#N/A</v>
      </c>
      <c r="J45" s="2" t="e">
        <f aca="false">#N/A</f>
        <v>#N/A</v>
      </c>
      <c r="K45" s="2" t="e">
        <f aca="false">#N/A</f>
        <v>#N/A</v>
      </c>
      <c r="L45" s="2" t="s">
        <v>28</v>
      </c>
      <c r="M45" s="2" t="s">
        <v>28</v>
      </c>
      <c r="N45" s="2" t="s">
        <v>28</v>
      </c>
      <c r="O45" s="2" t="s">
        <v>28</v>
      </c>
      <c r="P45" s="3" t="b">
        <f aca="false">FALSE()</f>
        <v>0</v>
      </c>
      <c r="Q45" s="2" t="e">
        <f aca="false">#N/A</f>
        <v>#N/A</v>
      </c>
      <c r="R45" s="2" t="e">
        <f aca="false">#N/A</f>
        <v>#N/A</v>
      </c>
      <c r="S45" s="4" t="s">
        <v>255</v>
      </c>
      <c r="T45" s="2" t="s">
        <v>256</v>
      </c>
      <c r="U45" s="2" t="e">
        <f aca="false">#N/A</f>
        <v>#N/A</v>
      </c>
      <c r="V45" s="2" t="s">
        <v>40</v>
      </c>
      <c r="W45" s="2" t="s">
        <v>40</v>
      </c>
    </row>
    <row r="46" customFormat="false" ht="85.05" hidden="false" customHeight="true" outlineLevel="0" collapsed="false">
      <c r="A46" s="2" t="e">
        <f aca="false">#N/A</f>
        <v>#N/A</v>
      </c>
      <c r="B46" s="2" t="s">
        <v>257</v>
      </c>
      <c r="C46" s="2" t="s">
        <v>258</v>
      </c>
      <c r="D46" s="2" t="e">
        <f aca="false">#N/A</f>
        <v>#N/A</v>
      </c>
      <c r="E46" s="2" t="s">
        <v>27</v>
      </c>
      <c r="F46" s="2" t="s">
        <v>257</v>
      </c>
      <c r="G46" s="2" t="e">
        <f aca="false">#N/A</f>
        <v>#N/A</v>
      </c>
      <c r="H46" s="2" t="e">
        <f aca="false">#N/A</f>
        <v>#N/A</v>
      </c>
      <c r="I46" s="2" t="e">
        <f aca="false">#N/A</f>
        <v>#N/A</v>
      </c>
      <c r="J46" s="2" t="e">
        <f aca="false">#N/A</f>
        <v>#N/A</v>
      </c>
      <c r="K46" s="2" t="e">
        <f aca="false">#N/A</f>
        <v>#N/A</v>
      </c>
      <c r="L46" s="2" t="s">
        <v>28</v>
      </c>
      <c r="M46" s="2" t="s">
        <v>28</v>
      </c>
      <c r="N46" s="2" t="s">
        <v>28</v>
      </c>
      <c r="O46" s="2" t="s">
        <v>28</v>
      </c>
      <c r="P46" s="3" t="b">
        <f aca="false">FALSE()</f>
        <v>0</v>
      </c>
      <c r="Q46" s="2" t="e">
        <f aca="false">#N/A</f>
        <v>#N/A</v>
      </c>
      <c r="R46" s="2" t="e">
        <f aca="false">#N/A</f>
        <v>#N/A</v>
      </c>
      <c r="S46" s="4" t="s">
        <v>259</v>
      </c>
      <c r="T46" s="2" t="s">
        <v>260</v>
      </c>
      <c r="U46" s="2" t="e">
        <f aca="false">#N/A</f>
        <v>#N/A</v>
      </c>
      <c r="V46" s="2" t="s">
        <v>40</v>
      </c>
      <c r="W46" s="2" t="s">
        <v>40</v>
      </c>
    </row>
    <row r="47" customFormat="false" ht="85.05" hidden="false" customHeight="true" outlineLevel="0" collapsed="false">
      <c r="A47" s="2" t="e">
        <f aca="false">#N/A</f>
        <v>#N/A</v>
      </c>
      <c r="B47" s="4" t="s">
        <v>261</v>
      </c>
      <c r="C47" s="2" t="s">
        <v>262</v>
      </c>
      <c r="D47" s="2" t="e">
        <f aca="false">#N/A</f>
        <v>#N/A</v>
      </c>
      <c r="E47" s="2" t="s">
        <v>27</v>
      </c>
      <c r="F47" s="4" t="s">
        <v>261</v>
      </c>
      <c r="G47" s="2" t="e">
        <f aca="false">#N/A</f>
        <v>#N/A</v>
      </c>
      <c r="H47" s="2" t="e">
        <f aca="false">#N/A</f>
        <v>#N/A</v>
      </c>
      <c r="I47" s="2" t="e">
        <f aca="false">#N/A</f>
        <v>#N/A</v>
      </c>
      <c r="J47" s="2" t="e">
        <f aca="false">#N/A</f>
        <v>#N/A</v>
      </c>
      <c r="K47" s="2" t="e">
        <f aca="false">#N/A</f>
        <v>#N/A</v>
      </c>
      <c r="L47" s="2" t="s">
        <v>28</v>
      </c>
      <c r="M47" s="2" t="s">
        <v>28</v>
      </c>
      <c r="N47" s="2" t="s">
        <v>28</v>
      </c>
      <c r="O47" s="2" t="s">
        <v>28</v>
      </c>
      <c r="P47" s="3" t="b">
        <f aca="false">FALSE()</f>
        <v>0</v>
      </c>
      <c r="Q47" s="2" t="e">
        <f aca="false">#N/A</f>
        <v>#N/A</v>
      </c>
      <c r="R47" s="2" t="e">
        <f aca="false">#N/A</f>
        <v>#N/A</v>
      </c>
      <c r="S47" s="4" t="s">
        <v>263</v>
      </c>
      <c r="T47" s="2" t="s">
        <v>264</v>
      </c>
      <c r="U47" s="2" t="s">
        <v>265</v>
      </c>
      <c r="V47" s="2" t="s">
        <v>266</v>
      </c>
      <c r="W47" s="2" t="s">
        <v>267</v>
      </c>
    </row>
    <row r="48" customFormat="false" ht="85.05" hidden="false" customHeight="true" outlineLevel="0" collapsed="false">
      <c r="A48" s="2" t="e">
        <f aca="false">#N/A</f>
        <v>#N/A</v>
      </c>
      <c r="B48" s="2" t="s">
        <v>268</v>
      </c>
      <c r="C48" s="2" t="s">
        <v>269</v>
      </c>
      <c r="D48" s="2" t="e">
        <f aca="false">#N/A</f>
        <v>#N/A</v>
      </c>
      <c r="E48" s="2" t="s">
        <v>27</v>
      </c>
      <c r="F48" s="2" t="s">
        <v>268</v>
      </c>
      <c r="G48" s="2" t="e">
        <f aca="false">#N/A</f>
        <v>#N/A</v>
      </c>
      <c r="H48" s="2" t="e">
        <f aca="false">#N/A</f>
        <v>#N/A</v>
      </c>
      <c r="I48" s="2" t="e">
        <f aca="false">#N/A</f>
        <v>#N/A</v>
      </c>
      <c r="J48" s="2" t="e">
        <f aca="false">#N/A</f>
        <v>#N/A</v>
      </c>
      <c r="K48" s="2" t="e">
        <f aca="false">#N/A</f>
        <v>#N/A</v>
      </c>
      <c r="L48" s="2" t="s">
        <v>28</v>
      </c>
      <c r="M48" s="2" t="s">
        <v>28</v>
      </c>
      <c r="N48" s="2" t="s">
        <v>28</v>
      </c>
      <c r="O48" s="2" t="s">
        <v>28</v>
      </c>
      <c r="P48" s="3" t="b">
        <f aca="false">FALSE()</f>
        <v>0</v>
      </c>
      <c r="Q48" s="2" t="e">
        <f aca="false">#N/A</f>
        <v>#N/A</v>
      </c>
      <c r="R48" s="2" t="e">
        <f aca="false">#N/A</f>
        <v>#N/A</v>
      </c>
      <c r="S48" s="4" t="s">
        <v>270</v>
      </c>
      <c r="T48" s="2" t="s">
        <v>271</v>
      </c>
      <c r="U48" s="2" t="e">
        <f aca="false">#N/A</f>
        <v>#N/A</v>
      </c>
      <c r="V48" s="2" t="s">
        <v>40</v>
      </c>
      <c r="W48" s="2" t="s">
        <v>40</v>
      </c>
    </row>
    <row r="49" customFormat="false" ht="85.05" hidden="false" customHeight="true" outlineLevel="0" collapsed="false">
      <c r="A49" s="2" t="e">
        <f aca="false">#N/A</f>
        <v>#N/A</v>
      </c>
      <c r="B49" s="2" t="s">
        <v>272</v>
      </c>
      <c r="C49" s="2" t="s">
        <v>273</v>
      </c>
      <c r="D49" s="2" t="e">
        <f aca="false">#N/A</f>
        <v>#N/A</v>
      </c>
      <c r="E49" s="2" t="s">
        <v>27</v>
      </c>
      <c r="F49" s="2" t="s">
        <v>272</v>
      </c>
      <c r="G49" s="2" t="e">
        <f aca="false">#N/A</f>
        <v>#N/A</v>
      </c>
      <c r="H49" s="2" t="e">
        <f aca="false">#N/A</f>
        <v>#N/A</v>
      </c>
      <c r="I49" s="2" t="e">
        <f aca="false">#N/A</f>
        <v>#N/A</v>
      </c>
      <c r="J49" s="2" t="e">
        <f aca="false">#N/A</f>
        <v>#N/A</v>
      </c>
      <c r="K49" s="2" t="e">
        <f aca="false">#N/A</f>
        <v>#N/A</v>
      </c>
      <c r="L49" s="2" t="s">
        <v>28</v>
      </c>
      <c r="M49" s="2" t="s">
        <v>28</v>
      </c>
      <c r="N49" s="2" t="s">
        <v>28</v>
      </c>
      <c r="O49" s="2" t="s">
        <v>28</v>
      </c>
      <c r="P49" s="3" t="b">
        <f aca="false">FALSE()</f>
        <v>0</v>
      </c>
      <c r="Q49" s="2" t="e">
        <f aca="false">#N/A</f>
        <v>#N/A</v>
      </c>
      <c r="R49" s="2" t="e">
        <f aca="false">#N/A</f>
        <v>#N/A</v>
      </c>
      <c r="S49" s="4" t="s">
        <v>274</v>
      </c>
      <c r="T49" s="2" t="s">
        <v>275</v>
      </c>
      <c r="U49" s="2" t="e">
        <f aca="false">#N/A</f>
        <v>#N/A</v>
      </c>
      <c r="V49" s="2" t="s">
        <v>276</v>
      </c>
      <c r="W49" s="2" t="s">
        <v>40</v>
      </c>
    </row>
    <row r="50" customFormat="false" ht="85.05" hidden="false" customHeight="true" outlineLevel="0" collapsed="false">
      <c r="A50" s="2" t="e">
        <f aca="false">#N/A</f>
        <v>#N/A</v>
      </c>
      <c r="B50" s="2" t="s">
        <v>277</v>
      </c>
      <c r="C50" s="2" t="s">
        <v>278</v>
      </c>
      <c r="D50" s="2" t="e">
        <f aca="false">#N/A</f>
        <v>#N/A</v>
      </c>
      <c r="E50" s="2" t="s">
        <v>27</v>
      </c>
      <c r="F50" s="2" t="s">
        <v>277</v>
      </c>
      <c r="G50" s="2" t="e">
        <f aca="false">#N/A</f>
        <v>#N/A</v>
      </c>
      <c r="H50" s="2" t="e">
        <f aca="false">#N/A</f>
        <v>#N/A</v>
      </c>
      <c r="I50" s="2" t="e">
        <f aca="false">#N/A</f>
        <v>#N/A</v>
      </c>
      <c r="J50" s="2" t="e">
        <f aca="false">#N/A</f>
        <v>#N/A</v>
      </c>
      <c r="K50" s="2" t="e">
        <f aca="false">#N/A</f>
        <v>#N/A</v>
      </c>
      <c r="L50" s="2" t="s">
        <v>28</v>
      </c>
      <c r="M50" s="2" t="s">
        <v>28</v>
      </c>
      <c r="N50" s="2" t="s">
        <v>28</v>
      </c>
      <c r="O50" s="2" t="s">
        <v>28</v>
      </c>
      <c r="P50" s="3" t="b">
        <f aca="false">FALSE()</f>
        <v>0</v>
      </c>
      <c r="Q50" s="2" t="e">
        <f aca="false">#N/A</f>
        <v>#N/A</v>
      </c>
      <c r="R50" s="2" t="e">
        <f aca="false">#N/A</f>
        <v>#N/A</v>
      </c>
      <c r="S50" s="4" t="s">
        <v>279</v>
      </c>
      <c r="T50" s="2" t="s">
        <v>280</v>
      </c>
      <c r="U50" s="2" t="e">
        <f aca="false">#N/A</f>
        <v>#N/A</v>
      </c>
      <c r="V50" s="2" t="s">
        <v>40</v>
      </c>
      <c r="W50" s="2" t="s">
        <v>40</v>
      </c>
    </row>
    <row r="51" customFormat="false" ht="85.05" hidden="false" customHeight="true" outlineLevel="0" collapsed="false">
      <c r="A51" s="2" t="e">
        <f aca="false">#N/A</f>
        <v>#N/A</v>
      </c>
      <c r="B51" s="2" t="s">
        <v>281</v>
      </c>
      <c r="C51" s="2" t="s">
        <v>282</v>
      </c>
      <c r="D51" s="2" t="e">
        <f aca="false">#N/A</f>
        <v>#N/A</v>
      </c>
      <c r="E51" s="2" t="s">
        <v>27</v>
      </c>
      <c r="F51" s="2" t="s">
        <v>281</v>
      </c>
      <c r="G51" s="2" t="e">
        <f aca="false">#N/A</f>
        <v>#N/A</v>
      </c>
      <c r="H51" s="2" t="e">
        <f aca="false">#N/A</f>
        <v>#N/A</v>
      </c>
      <c r="I51" s="2" t="e">
        <f aca="false">#N/A</f>
        <v>#N/A</v>
      </c>
      <c r="J51" s="2" t="e">
        <f aca="false">#N/A</f>
        <v>#N/A</v>
      </c>
      <c r="K51" s="2" t="e">
        <f aca="false">#N/A</f>
        <v>#N/A</v>
      </c>
      <c r="L51" s="2" t="s">
        <v>28</v>
      </c>
      <c r="M51" s="2" t="s">
        <v>28</v>
      </c>
      <c r="N51" s="2" t="s">
        <v>28</v>
      </c>
      <c r="O51" s="2" t="s">
        <v>28</v>
      </c>
      <c r="P51" s="3" t="b">
        <f aca="false">FALSE()</f>
        <v>0</v>
      </c>
      <c r="Q51" s="2" t="e">
        <f aca="false">#N/A</f>
        <v>#N/A</v>
      </c>
      <c r="R51" s="2" t="e">
        <f aca="false">#N/A</f>
        <v>#N/A</v>
      </c>
      <c r="S51" s="4" t="s">
        <v>283</v>
      </c>
      <c r="T51" s="2" t="s">
        <v>284</v>
      </c>
      <c r="U51" s="2" t="e">
        <f aca="false">#N/A</f>
        <v>#N/A</v>
      </c>
      <c r="V51" s="2" t="s">
        <v>40</v>
      </c>
      <c r="W51" s="2" t="s">
        <v>40</v>
      </c>
    </row>
    <row r="52" customFormat="false" ht="85.05" hidden="false" customHeight="true" outlineLevel="0" collapsed="false">
      <c r="A52" s="2" t="e">
        <f aca="false">#N/A</f>
        <v>#N/A</v>
      </c>
      <c r="B52" s="2" t="s">
        <v>285</v>
      </c>
      <c r="C52" s="2" t="s">
        <v>286</v>
      </c>
      <c r="D52" s="2" t="e">
        <f aca="false">#N/A</f>
        <v>#N/A</v>
      </c>
      <c r="E52" s="2" t="s">
        <v>27</v>
      </c>
      <c r="F52" s="2" t="s">
        <v>285</v>
      </c>
      <c r="G52" s="2" t="e">
        <f aca="false">#N/A</f>
        <v>#N/A</v>
      </c>
      <c r="H52" s="2" t="e">
        <f aca="false">#N/A</f>
        <v>#N/A</v>
      </c>
      <c r="I52" s="2" t="e">
        <f aca="false">#N/A</f>
        <v>#N/A</v>
      </c>
      <c r="J52" s="2" t="e">
        <f aca="false">#N/A</f>
        <v>#N/A</v>
      </c>
      <c r="K52" s="2" t="e">
        <f aca="false">#N/A</f>
        <v>#N/A</v>
      </c>
      <c r="L52" s="2" t="s">
        <v>28</v>
      </c>
      <c r="M52" s="2" t="s">
        <v>28</v>
      </c>
      <c r="N52" s="2" t="s">
        <v>28</v>
      </c>
      <c r="O52" s="2" t="s">
        <v>28</v>
      </c>
      <c r="P52" s="3" t="b">
        <f aca="false">FALSE()</f>
        <v>0</v>
      </c>
      <c r="Q52" s="2" t="e">
        <f aca="false">#N/A</f>
        <v>#N/A</v>
      </c>
      <c r="R52" s="2" t="e">
        <f aca="false">#N/A</f>
        <v>#N/A</v>
      </c>
      <c r="S52" s="4" t="s">
        <v>287</v>
      </c>
      <c r="T52" s="2" t="s">
        <v>288</v>
      </c>
      <c r="U52" s="2" t="s">
        <v>289</v>
      </c>
      <c r="V52" s="2" t="s">
        <v>290</v>
      </c>
      <c r="W52" s="2" t="s">
        <v>291</v>
      </c>
    </row>
    <row r="53" customFormat="false" ht="85.05" hidden="false" customHeight="true" outlineLevel="0" collapsed="false">
      <c r="A53" s="2" t="e">
        <f aca="false">#N/A</f>
        <v>#N/A</v>
      </c>
      <c r="B53" s="2" t="s">
        <v>292</v>
      </c>
      <c r="C53" s="2" t="s">
        <v>293</v>
      </c>
      <c r="D53" s="2" t="e">
        <f aca="false">#N/A</f>
        <v>#N/A</v>
      </c>
      <c r="E53" s="2" t="s">
        <v>27</v>
      </c>
      <c r="F53" s="2" t="s">
        <v>292</v>
      </c>
      <c r="G53" s="2" t="e">
        <f aca="false">#N/A</f>
        <v>#N/A</v>
      </c>
      <c r="H53" s="2" t="e">
        <f aca="false">#N/A</f>
        <v>#N/A</v>
      </c>
      <c r="I53" s="2" t="e">
        <f aca="false">#N/A</f>
        <v>#N/A</v>
      </c>
      <c r="J53" s="2" t="e">
        <f aca="false">#N/A</f>
        <v>#N/A</v>
      </c>
      <c r="K53" s="2" t="e">
        <f aca="false">#N/A</f>
        <v>#N/A</v>
      </c>
      <c r="L53" s="2" t="s">
        <v>28</v>
      </c>
      <c r="M53" s="2" t="s">
        <v>28</v>
      </c>
      <c r="N53" s="2" t="s">
        <v>28</v>
      </c>
      <c r="O53" s="2" t="s">
        <v>28</v>
      </c>
      <c r="P53" s="3" t="b">
        <f aca="false">FALSE()</f>
        <v>0</v>
      </c>
      <c r="Q53" s="2" t="e">
        <f aca="false">#N/A</f>
        <v>#N/A</v>
      </c>
      <c r="R53" s="2" t="e">
        <f aca="false">#N/A</f>
        <v>#N/A</v>
      </c>
      <c r="S53" s="4" t="s">
        <v>294</v>
      </c>
      <c r="T53" s="2" t="s">
        <v>295</v>
      </c>
      <c r="U53" s="2" t="e">
        <f aca="false">#N/A</f>
        <v>#N/A</v>
      </c>
      <c r="V53" s="2" t="s">
        <v>40</v>
      </c>
      <c r="W53" s="2" t="s">
        <v>40</v>
      </c>
    </row>
    <row r="54" customFormat="false" ht="85.05" hidden="false" customHeight="true" outlineLevel="0" collapsed="false">
      <c r="A54" s="2" t="e">
        <f aca="false">#N/A</f>
        <v>#N/A</v>
      </c>
      <c r="B54" s="2" t="s">
        <v>296</v>
      </c>
      <c r="C54" s="2" t="s">
        <v>297</v>
      </c>
      <c r="D54" s="2" t="e">
        <f aca="false">#N/A</f>
        <v>#N/A</v>
      </c>
      <c r="E54" s="2" t="s">
        <v>27</v>
      </c>
      <c r="F54" s="2" t="s">
        <v>296</v>
      </c>
      <c r="G54" s="2" t="e">
        <f aca="false">#N/A</f>
        <v>#N/A</v>
      </c>
      <c r="H54" s="2" t="e">
        <f aca="false">#N/A</f>
        <v>#N/A</v>
      </c>
      <c r="I54" s="2" t="e">
        <f aca="false">#N/A</f>
        <v>#N/A</v>
      </c>
      <c r="J54" s="2" t="e">
        <f aca="false">#N/A</f>
        <v>#N/A</v>
      </c>
      <c r="K54" s="2" t="e">
        <f aca="false">#N/A</f>
        <v>#N/A</v>
      </c>
      <c r="L54" s="2" t="s">
        <v>28</v>
      </c>
      <c r="M54" s="2" t="s">
        <v>28</v>
      </c>
      <c r="N54" s="2" t="s">
        <v>28</v>
      </c>
      <c r="O54" s="2" t="s">
        <v>28</v>
      </c>
      <c r="P54" s="3" t="b">
        <f aca="false">FALSE()</f>
        <v>0</v>
      </c>
      <c r="Q54" s="2" t="e">
        <f aca="false">#N/A</f>
        <v>#N/A</v>
      </c>
      <c r="R54" s="2" t="e">
        <f aca="false">#N/A</f>
        <v>#N/A</v>
      </c>
      <c r="S54" s="4" t="s">
        <v>298</v>
      </c>
      <c r="T54" s="2" t="s">
        <v>299</v>
      </c>
      <c r="U54" s="2" t="s">
        <v>300</v>
      </c>
      <c r="V54" s="2" t="s">
        <v>301</v>
      </c>
      <c r="W54" s="2" t="s">
        <v>302</v>
      </c>
    </row>
    <row r="55" customFormat="false" ht="85.05" hidden="false" customHeight="true" outlineLevel="0" collapsed="false">
      <c r="A55" s="2" t="e">
        <f aca="false">#N/A</f>
        <v>#N/A</v>
      </c>
      <c r="B55" s="2" t="s">
        <v>303</v>
      </c>
      <c r="C55" s="2" t="s">
        <v>304</v>
      </c>
      <c r="D55" s="2" t="e">
        <f aca="false">#N/A</f>
        <v>#N/A</v>
      </c>
      <c r="E55" s="2" t="s">
        <v>27</v>
      </c>
      <c r="F55" s="2" t="s">
        <v>303</v>
      </c>
      <c r="G55" s="2" t="e">
        <f aca="false">#N/A</f>
        <v>#N/A</v>
      </c>
      <c r="H55" s="2" t="e">
        <f aca="false">#N/A</f>
        <v>#N/A</v>
      </c>
      <c r="I55" s="2" t="e">
        <f aca="false">#N/A</f>
        <v>#N/A</v>
      </c>
      <c r="J55" s="2" t="e">
        <f aca="false">#N/A</f>
        <v>#N/A</v>
      </c>
      <c r="K55" s="2" t="e">
        <f aca="false">#N/A</f>
        <v>#N/A</v>
      </c>
      <c r="L55" s="2" t="s">
        <v>28</v>
      </c>
      <c r="M55" s="2" t="s">
        <v>28</v>
      </c>
      <c r="N55" s="2" t="s">
        <v>28</v>
      </c>
      <c r="O55" s="2" t="s">
        <v>28</v>
      </c>
      <c r="P55" s="3" t="b">
        <f aca="false">FALSE()</f>
        <v>0</v>
      </c>
      <c r="Q55" s="2" t="e">
        <f aca="false">#N/A</f>
        <v>#N/A</v>
      </c>
      <c r="R55" s="2" t="e">
        <f aca="false">#N/A</f>
        <v>#N/A</v>
      </c>
      <c r="S55" s="4" t="s">
        <v>305</v>
      </c>
      <c r="T55" s="2" t="s">
        <v>306</v>
      </c>
      <c r="U55" s="2" t="s">
        <v>307</v>
      </c>
      <c r="V55" s="2" t="s">
        <v>308</v>
      </c>
      <c r="W55" s="2" t="s">
        <v>309</v>
      </c>
    </row>
    <row r="56" customFormat="false" ht="85.05" hidden="false" customHeight="true" outlineLevel="0" collapsed="false">
      <c r="A56" s="2" t="e">
        <f aca="false">#N/A</f>
        <v>#N/A</v>
      </c>
      <c r="B56" s="2" t="s">
        <v>310</v>
      </c>
      <c r="C56" s="2" t="s">
        <v>311</v>
      </c>
      <c r="D56" s="2" t="e">
        <f aca="false">#N/A</f>
        <v>#N/A</v>
      </c>
      <c r="E56" s="2" t="s">
        <v>27</v>
      </c>
      <c r="F56" s="2" t="s">
        <v>310</v>
      </c>
      <c r="G56" s="2" t="e">
        <f aca="false">#N/A</f>
        <v>#N/A</v>
      </c>
      <c r="H56" s="2" t="e">
        <f aca="false">#N/A</f>
        <v>#N/A</v>
      </c>
      <c r="I56" s="2" t="e">
        <f aca="false">#N/A</f>
        <v>#N/A</v>
      </c>
      <c r="J56" s="2" t="e">
        <f aca="false">#N/A</f>
        <v>#N/A</v>
      </c>
      <c r="K56" s="2" t="e">
        <f aca="false">#N/A</f>
        <v>#N/A</v>
      </c>
      <c r="L56" s="2" t="s">
        <v>28</v>
      </c>
      <c r="M56" s="2" t="s">
        <v>28</v>
      </c>
      <c r="N56" s="2" t="s">
        <v>28</v>
      </c>
      <c r="O56" s="2" t="s">
        <v>28</v>
      </c>
      <c r="P56" s="3" t="b">
        <f aca="false">FALSE()</f>
        <v>0</v>
      </c>
      <c r="Q56" s="2" t="e">
        <f aca="false">#N/A</f>
        <v>#N/A</v>
      </c>
      <c r="R56" s="2" t="e">
        <f aca="false">#N/A</f>
        <v>#N/A</v>
      </c>
      <c r="S56" s="4" t="s">
        <v>312</v>
      </c>
      <c r="T56" s="2" t="s">
        <v>313</v>
      </c>
      <c r="U56" s="2" t="s">
        <v>314</v>
      </c>
      <c r="V56" s="2" t="s">
        <v>315</v>
      </c>
      <c r="W56" s="2" t="s">
        <v>316</v>
      </c>
    </row>
    <row r="57" customFormat="false" ht="85.05" hidden="false" customHeight="true" outlineLevel="0" collapsed="false">
      <c r="A57" s="2" t="e">
        <f aca="false">#N/A</f>
        <v>#N/A</v>
      </c>
      <c r="B57" s="2" t="s">
        <v>317</v>
      </c>
      <c r="C57" s="2" t="s">
        <v>318</v>
      </c>
      <c r="D57" s="2" t="e">
        <f aca="false">#N/A</f>
        <v>#N/A</v>
      </c>
      <c r="E57" s="2" t="s">
        <v>27</v>
      </c>
      <c r="F57" s="2" t="s">
        <v>317</v>
      </c>
      <c r="G57" s="2" t="e">
        <f aca="false">#N/A</f>
        <v>#N/A</v>
      </c>
      <c r="H57" s="2" t="e">
        <f aca="false">#N/A</f>
        <v>#N/A</v>
      </c>
      <c r="I57" s="2" t="e">
        <f aca="false">#N/A</f>
        <v>#N/A</v>
      </c>
      <c r="J57" s="2" t="e">
        <f aca="false">#N/A</f>
        <v>#N/A</v>
      </c>
      <c r="K57" s="2" t="e">
        <f aca="false">#N/A</f>
        <v>#N/A</v>
      </c>
      <c r="L57" s="2" t="s">
        <v>28</v>
      </c>
      <c r="M57" s="2" t="s">
        <v>28</v>
      </c>
      <c r="N57" s="2" t="s">
        <v>28</v>
      </c>
      <c r="O57" s="2" t="s">
        <v>28</v>
      </c>
      <c r="P57" s="3" t="b">
        <f aca="false">FALSE()</f>
        <v>0</v>
      </c>
      <c r="Q57" s="2" t="e">
        <f aca="false">#N/A</f>
        <v>#N/A</v>
      </c>
      <c r="R57" s="2" t="e">
        <f aca="false">#N/A</f>
        <v>#N/A</v>
      </c>
      <c r="S57" s="4" t="s">
        <v>319</v>
      </c>
      <c r="T57" s="2" t="s">
        <v>320</v>
      </c>
      <c r="U57" s="2" t="e">
        <f aca="false">#N/A</f>
        <v>#N/A</v>
      </c>
      <c r="V57" s="2" t="s">
        <v>321</v>
      </c>
      <c r="W57" s="2" t="s">
        <v>322</v>
      </c>
    </row>
    <row r="58" customFormat="false" ht="85.05" hidden="false" customHeight="true" outlineLevel="0" collapsed="false">
      <c r="A58" s="2" t="e">
        <f aca="false">#N/A</f>
        <v>#N/A</v>
      </c>
      <c r="B58" s="2" t="s">
        <v>323</v>
      </c>
      <c r="C58" s="2" t="s">
        <v>324</v>
      </c>
      <c r="D58" s="2" t="e">
        <f aca="false">#N/A</f>
        <v>#N/A</v>
      </c>
      <c r="E58" s="2" t="s">
        <v>27</v>
      </c>
      <c r="F58" s="2" t="s">
        <v>323</v>
      </c>
      <c r="G58" s="2" t="e">
        <f aca="false">#N/A</f>
        <v>#N/A</v>
      </c>
      <c r="H58" s="2" t="e">
        <f aca="false">#N/A</f>
        <v>#N/A</v>
      </c>
      <c r="I58" s="2" t="e">
        <f aca="false">#N/A</f>
        <v>#N/A</v>
      </c>
      <c r="J58" s="2" t="e">
        <f aca="false">#N/A</f>
        <v>#N/A</v>
      </c>
      <c r="K58" s="2" t="e">
        <f aca="false">#N/A</f>
        <v>#N/A</v>
      </c>
      <c r="L58" s="2" t="s">
        <v>28</v>
      </c>
      <c r="M58" s="2" t="s">
        <v>28</v>
      </c>
      <c r="N58" s="2" t="s">
        <v>28</v>
      </c>
      <c r="O58" s="2" t="s">
        <v>28</v>
      </c>
      <c r="P58" s="3" t="b">
        <f aca="false">FALSE()</f>
        <v>0</v>
      </c>
      <c r="Q58" s="2" t="e">
        <f aca="false">#N/A</f>
        <v>#N/A</v>
      </c>
      <c r="R58" s="2" t="e">
        <f aca="false">#N/A</f>
        <v>#N/A</v>
      </c>
      <c r="S58" s="4" t="s">
        <v>325</v>
      </c>
      <c r="T58" s="2" t="s">
        <v>326</v>
      </c>
      <c r="U58" s="2" t="s">
        <v>327</v>
      </c>
      <c r="V58" s="2" t="s">
        <v>328</v>
      </c>
      <c r="W58" s="2" t="s">
        <v>329</v>
      </c>
    </row>
    <row r="59" customFormat="false" ht="85.05" hidden="false" customHeight="true" outlineLevel="0" collapsed="false">
      <c r="A59" s="2" t="e">
        <f aca="false">#N/A</f>
        <v>#N/A</v>
      </c>
      <c r="B59" s="2" t="s">
        <v>330</v>
      </c>
      <c r="C59" s="2" t="s">
        <v>331</v>
      </c>
      <c r="D59" s="2" t="e">
        <f aca="false">#N/A</f>
        <v>#N/A</v>
      </c>
      <c r="E59" s="2" t="s">
        <v>27</v>
      </c>
      <c r="F59" s="2" t="s">
        <v>330</v>
      </c>
      <c r="G59" s="2" t="e">
        <f aca="false">#N/A</f>
        <v>#N/A</v>
      </c>
      <c r="H59" s="2" t="e">
        <f aca="false">#N/A</f>
        <v>#N/A</v>
      </c>
      <c r="I59" s="2" t="e">
        <f aca="false">#N/A</f>
        <v>#N/A</v>
      </c>
      <c r="J59" s="2" t="e">
        <f aca="false">#N/A</f>
        <v>#N/A</v>
      </c>
      <c r="K59" s="2" t="e">
        <f aca="false">#N/A</f>
        <v>#N/A</v>
      </c>
      <c r="L59" s="2" t="s">
        <v>28</v>
      </c>
      <c r="M59" s="2" t="s">
        <v>28</v>
      </c>
      <c r="N59" s="2" t="s">
        <v>28</v>
      </c>
      <c r="O59" s="2" t="s">
        <v>28</v>
      </c>
      <c r="P59" s="3" t="b">
        <f aca="false">FALSE()</f>
        <v>0</v>
      </c>
      <c r="Q59" s="2" t="e">
        <f aca="false">#N/A</f>
        <v>#N/A</v>
      </c>
      <c r="R59" s="2" t="e">
        <f aca="false">#N/A</f>
        <v>#N/A</v>
      </c>
      <c r="S59" s="4" t="s">
        <v>332</v>
      </c>
      <c r="T59" s="2" t="s">
        <v>333</v>
      </c>
      <c r="U59" s="2" t="e">
        <f aca="false">#N/A</f>
        <v>#N/A</v>
      </c>
      <c r="V59" s="2" t="s">
        <v>40</v>
      </c>
      <c r="W59" s="2" t="s">
        <v>40</v>
      </c>
    </row>
    <row r="60" customFormat="false" ht="85.05" hidden="false" customHeight="true" outlineLevel="0" collapsed="false">
      <c r="A60" s="2" t="e">
        <f aca="false">#N/A</f>
        <v>#N/A</v>
      </c>
      <c r="B60" s="2" t="s">
        <v>334</v>
      </c>
      <c r="C60" s="2" t="s">
        <v>335</v>
      </c>
      <c r="D60" s="2" t="e">
        <f aca="false">#N/A</f>
        <v>#N/A</v>
      </c>
      <c r="E60" s="2" t="s">
        <v>27</v>
      </c>
      <c r="F60" s="2" t="s">
        <v>334</v>
      </c>
      <c r="G60" s="2" t="e">
        <f aca="false">#N/A</f>
        <v>#N/A</v>
      </c>
      <c r="H60" s="2" t="e">
        <f aca="false">#N/A</f>
        <v>#N/A</v>
      </c>
      <c r="I60" s="2" t="e">
        <f aca="false">#N/A</f>
        <v>#N/A</v>
      </c>
      <c r="J60" s="2" t="e">
        <f aca="false">#N/A</f>
        <v>#N/A</v>
      </c>
      <c r="K60" s="2" t="e">
        <f aca="false">#N/A</f>
        <v>#N/A</v>
      </c>
      <c r="L60" s="2" t="s">
        <v>28</v>
      </c>
      <c r="M60" s="2" t="s">
        <v>28</v>
      </c>
      <c r="N60" s="2" t="s">
        <v>28</v>
      </c>
      <c r="O60" s="2" t="s">
        <v>28</v>
      </c>
      <c r="P60" s="3" t="b">
        <f aca="false">FALSE()</f>
        <v>0</v>
      </c>
      <c r="Q60" s="2" t="e">
        <f aca="false">#N/A</f>
        <v>#N/A</v>
      </c>
      <c r="R60" s="2" t="e">
        <f aca="false">#N/A</f>
        <v>#N/A</v>
      </c>
      <c r="S60" s="4" t="s">
        <v>336</v>
      </c>
      <c r="T60" s="2" t="s">
        <v>337</v>
      </c>
      <c r="U60" s="2" t="e">
        <f aca="false">#N/A</f>
        <v>#N/A</v>
      </c>
      <c r="V60" s="2" t="s">
        <v>338</v>
      </c>
      <c r="W60" s="2" t="s">
        <v>40</v>
      </c>
    </row>
    <row r="61" customFormat="false" ht="85.05" hidden="false" customHeight="true" outlineLevel="0" collapsed="false">
      <c r="A61" s="2" t="e">
        <f aca="false">#N/A</f>
        <v>#N/A</v>
      </c>
      <c r="B61" s="2" t="s">
        <v>339</v>
      </c>
      <c r="C61" s="2" t="s">
        <v>340</v>
      </c>
      <c r="D61" s="2" t="e">
        <f aca="false">#N/A</f>
        <v>#N/A</v>
      </c>
      <c r="E61" s="2" t="s">
        <v>27</v>
      </c>
      <c r="F61" s="2" t="s">
        <v>339</v>
      </c>
      <c r="G61" s="2" t="e">
        <f aca="false">#N/A</f>
        <v>#N/A</v>
      </c>
      <c r="H61" s="2" t="e">
        <f aca="false">#N/A</f>
        <v>#N/A</v>
      </c>
      <c r="I61" s="2" t="e">
        <f aca="false">#N/A</f>
        <v>#N/A</v>
      </c>
      <c r="J61" s="2" t="e">
        <f aca="false">#N/A</f>
        <v>#N/A</v>
      </c>
      <c r="K61" s="2" t="e">
        <f aca="false">#N/A</f>
        <v>#N/A</v>
      </c>
      <c r="L61" s="2" t="s">
        <v>28</v>
      </c>
      <c r="M61" s="2" t="s">
        <v>28</v>
      </c>
      <c r="N61" s="2" t="s">
        <v>28</v>
      </c>
      <c r="O61" s="2" t="s">
        <v>28</v>
      </c>
      <c r="P61" s="3" t="b">
        <f aca="false">FALSE()</f>
        <v>0</v>
      </c>
      <c r="Q61" s="2" t="e">
        <f aca="false">#N/A</f>
        <v>#N/A</v>
      </c>
      <c r="R61" s="2" t="s">
        <v>341</v>
      </c>
      <c r="S61" s="4" t="s">
        <v>342</v>
      </c>
      <c r="T61" s="2" t="s">
        <v>343</v>
      </c>
      <c r="U61" s="2" t="s">
        <v>344</v>
      </c>
      <c r="V61" s="2" t="s">
        <v>345</v>
      </c>
      <c r="W61" s="2" t="s">
        <v>346</v>
      </c>
    </row>
    <row r="62" customFormat="false" ht="85.05" hidden="false" customHeight="true" outlineLevel="0" collapsed="false">
      <c r="A62" s="2" t="e">
        <f aca="false">#N/A</f>
        <v>#N/A</v>
      </c>
      <c r="B62" s="2" t="s">
        <v>347</v>
      </c>
      <c r="C62" s="2" t="s">
        <v>348</v>
      </c>
      <c r="D62" s="2" t="e">
        <f aca="false">#N/A</f>
        <v>#N/A</v>
      </c>
      <c r="E62" s="2" t="s">
        <v>27</v>
      </c>
      <c r="F62" s="2" t="s">
        <v>347</v>
      </c>
      <c r="G62" s="2" t="e">
        <f aca="false">#N/A</f>
        <v>#N/A</v>
      </c>
      <c r="H62" s="2" t="e">
        <f aca="false">#N/A</f>
        <v>#N/A</v>
      </c>
      <c r="I62" s="2" t="e">
        <f aca="false">#N/A</f>
        <v>#N/A</v>
      </c>
      <c r="J62" s="2" t="e">
        <f aca="false">#N/A</f>
        <v>#N/A</v>
      </c>
      <c r="K62" s="2" t="e">
        <f aca="false">#N/A</f>
        <v>#N/A</v>
      </c>
      <c r="L62" s="2" t="s">
        <v>28</v>
      </c>
      <c r="M62" s="2" t="s">
        <v>28</v>
      </c>
      <c r="N62" s="2" t="s">
        <v>28</v>
      </c>
      <c r="O62" s="2" t="s">
        <v>28</v>
      </c>
      <c r="P62" s="3" t="b">
        <f aca="false">FALSE()</f>
        <v>0</v>
      </c>
      <c r="Q62" s="2" t="e">
        <f aca="false">#N/A</f>
        <v>#N/A</v>
      </c>
      <c r="R62" s="2" t="e">
        <f aca="false">#N/A</f>
        <v>#N/A</v>
      </c>
      <c r="S62" s="4" t="s">
        <v>349</v>
      </c>
      <c r="T62" s="2" t="s">
        <v>350</v>
      </c>
      <c r="U62" s="2" t="e">
        <f aca="false">#N/A</f>
        <v>#N/A</v>
      </c>
      <c r="V62" s="2" t="s">
        <v>351</v>
      </c>
      <c r="W62" s="2" t="s">
        <v>40</v>
      </c>
    </row>
    <row r="63" customFormat="false" ht="85.05" hidden="false" customHeight="true" outlineLevel="0" collapsed="false">
      <c r="A63" s="2" t="e">
        <f aca="false">#N/A</f>
        <v>#N/A</v>
      </c>
      <c r="B63" s="2" t="s">
        <v>352</v>
      </c>
      <c r="C63" s="2" t="s">
        <v>353</v>
      </c>
      <c r="D63" s="2" t="e">
        <f aca="false">#N/A</f>
        <v>#N/A</v>
      </c>
      <c r="E63" s="2" t="s">
        <v>27</v>
      </c>
      <c r="F63" s="2" t="s">
        <v>352</v>
      </c>
      <c r="G63" s="2" t="e">
        <f aca="false">#N/A</f>
        <v>#N/A</v>
      </c>
      <c r="H63" s="2" t="e">
        <f aca="false">#N/A</f>
        <v>#N/A</v>
      </c>
      <c r="I63" s="2" t="e">
        <f aca="false">#N/A</f>
        <v>#N/A</v>
      </c>
      <c r="J63" s="2" t="e">
        <f aca="false">#N/A</f>
        <v>#N/A</v>
      </c>
      <c r="K63" s="2" t="e">
        <f aca="false">#N/A</f>
        <v>#N/A</v>
      </c>
      <c r="L63" s="2" t="s">
        <v>28</v>
      </c>
      <c r="M63" s="2" t="s">
        <v>28</v>
      </c>
      <c r="N63" s="2" t="s">
        <v>28</v>
      </c>
      <c r="O63" s="2" t="s">
        <v>28</v>
      </c>
      <c r="P63" s="3" t="b">
        <f aca="false">FALSE()</f>
        <v>0</v>
      </c>
      <c r="Q63" s="2" t="e">
        <f aca="false">#N/A</f>
        <v>#N/A</v>
      </c>
      <c r="R63" s="2" t="e">
        <f aca="false">#N/A</f>
        <v>#N/A</v>
      </c>
      <c r="S63" s="4" t="s">
        <v>354</v>
      </c>
      <c r="T63" s="2" t="s">
        <v>355</v>
      </c>
      <c r="U63" s="2" t="e">
        <f aca="false">#N/A</f>
        <v>#N/A</v>
      </c>
      <c r="V63" s="2" t="s">
        <v>356</v>
      </c>
      <c r="W63" s="2" t="s">
        <v>322</v>
      </c>
    </row>
    <row r="64" customFormat="false" ht="85.05" hidden="false" customHeight="true" outlineLevel="0" collapsed="false">
      <c r="A64" s="2" t="e">
        <f aca="false">#N/A</f>
        <v>#N/A</v>
      </c>
      <c r="B64" s="2" t="s">
        <v>357</v>
      </c>
      <c r="C64" s="2" t="s">
        <v>358</v>
      </c>
      <c r="D64" s="2" t="e">
        <f aca="false">#N/A</f>
        <v>#N/A</v>
      </c>
      <c r="E64" s="2" t="s">
        <v>27</v>
      </c>
      <c r="F64" s="2" t="s">
        <v>357</v>
      </c>
      <c r="G64" s="2" t="e">
        <f aca="false">#N/A</f>
        <v>#N/A</v>
      </c>
      <c r="H64" s="2" t="e">
        <f aca="false">#N/A</f>
        <v>#N/A</v>
      </c>
      <c r="I64" s="2" t="e">
        <f aca="false">#N/A</f>
        <v>#N/A</v>
      </c>
      <c r="J64" s="2" t="e">
        <f aca="false">#N/A</f>
        <v>#N/A</v>
      </c>
      <c r="K64" s="2" t="e">
        <f aca="false">#N/A</f>
        <v>#N/A</v>
      </c>
      <c r="L64" s="2" t="s">
        <v>28</v>
      </c>
      <c r="M64" s="2" t="s">
        <v>28</v>
      </c>
      <c r="N64" s="2" t="s">
        <v>28</v>
      </c>
      <c r="O64" s="2" t="s">
        <v>28</v>
      </c>
      <c r="P64" s="3" t="b">
        <f aca="false">FALSE()</f>
        <v>0</v>
      </c>
      <c r="Q64" s="2" t="e">
        <f aca="false">#N/A</f>
        <v>#N/A</v>
      </c>
      <c r="R64" s="2" t="e">
        <f aca="false">#N/A</f>
        <v>#N/A</v>
      </c>
      <c r="S64" s="4" t="s">
        <v>359</v>
      </c>
      <c r="T64" s="2" t="s">
        <v>360</v>
      </c>
      <c r="U64" s="2" t="e">
        <f aca="false">#N/A</f>
        <v>#N/A</v>
      </c>
      <c r="V64" s="2" t="s">
        <v>40</v>
      </c>
      <c r="W64" s="2" t="s">
        <v>40</v>
      </c>
    </row>
    <row r="65" customFormat="false" ht="85.05" hidden="false" customHeight="true" outlineLevel="0" collapsed="false">
      <c r="A65" s="2" t="e">
        <f aca="false">#N/A</f>
        <v>#N/A</v>
      </c>
      <c r="B65" s="2" t="s">
        <v>361</v>
      </c>
      <c r="C65" s="2" t="s">
        <v>362</v>
      </c>
      <c r="D65" s="2" t="e">
        <f aca="false">#N/A</f>
        <v>#N/A</v>
      </c>
      <c r="E65" s="2" t="s">
        <v>27</v>
      </c>
      <c r="F65" s="2" t="s">
        <v>361</v>
      </c>
      <c r="G65" s="2" t="e">
        <f aca="false">#N/A</f>
        <v>#N/A</v>
      </c>
      <c r="H65" s="2" t="e">
        <f aca="false">#N/A</f>
        <v>#N/A</v>
      </c>
      <c r="I65" s="2" t="e">
        <f aca="false">#N/A</f>
        <v>#N/A</v>
      </c>
      <c r="J65" s="2" t="e">
        <f aca="false">#N/A</f>
        <v>#N/A</v>
      </c>
      <c r="K65" s="2" t="e">
        <f aca="false">#N/A</f>
        <v>#N/A</v>
      </c>
      <c r="L65" s="2" t="s">
        <v>28</v>
      </c>
      <c r="M65" s="2" t="s">
        <v>28</v>
      </c>
      <c r="N65" s="2" t="s">
        <v>28</v>
      </c>
      <c r="O65" s="2" t="s">
        <v>28</v>
      </c>
      <c r="P65" s="3" t="b">
        <f aca="false">FALSE()</f>
        <v>0</v>
      </c>
      <c r="Q65" s="2" t="e">
        <f aca="false">#N/A</f>
        <v>#N/A</v>
      </c>
      <c r="R65" s="2" t="e">
        <f aca="false">#N/A</f>
        <v>#N/A</v>
      </c>
      <c r="S65" s="4" t="s">
        <v>363</v>
      </c>
      <c r="T65" s="2" t="s">
        <v>364</v>
      </c>
      <c r="U65" s="2" t="e">
        <f aca="false">#N/A</f>
        <v>#N/A</v>
      </c>
      <c r="V65" s="2" t="s">
        <v>40</v>
      </c>
      <c r="W65" s="2" t="s">
        <v>40</v>
      </c>
    </row>
    <row r="66" customFormat="false" ht="85.05" hidden="false" customHeight="true" outlineLevel="0" collapsed="false">
      <c r="A66" s="2" t="e">
        <f aca="false">#N/A</f>
        <v>#N/A</v>
      </c>
      <c r="B66" s="2" t="s">
        <v>365</v>
      </c>
      <c r="C66" s="2" t="s">
        <v>366</v>
      </c>
      <c r="D66" s="2" t="e">
        <f aca="false">#N/A</f>
        <v>#N/A</v>
      </c>
      <c r="E66" s="2" t="s">
        <v>27</v>
      </c>
      <c r="F66" s="2" t="s">
        <v>365</v>
      </c>
      <c r="G66" s="2" t="e">
        <f aca="false">#N/A</f>
        <v>#N/A</v>
      </c>
      <c r="H66" s="2" t="e">
        <f aca="false">#N/A</f>
        <v>#N/A</v>
      </c>
      <c r="I66" s="2" t="e">
        <f aca="false">#N/A</f>
        <v>#N/A</v>
      </c>
      <c r="J66" s="2" t="e">
        <f aca="false">#N/A</f>
        <v>#N/A</v>
      </c>
      <c r="K66" s="2" t="e">
        <f aca="false">#N/A</f>
        <v>#N/A</v>
      </c>
      <c r="L66" s="2" t="s">
        <v>28</v>
      </c>
      <c r="M66" s="2" t="s">
        <v>28</v>
      </c>
      <c r="N66" s="2" t="s">
        <v>28</v>
      </c>
      <c r="O66" s="2" t="s">
        <v>28</v>
      </c>
      <c r="P66" s="3" t="b">
        <f aca="false">FALSE()</f>
        <v>0</v>
      </c>
      <c r="Q66" s="2" t="e">
        <f aca="false">#N/A</f>
        <v>#N/A</v>
      </c>
      <c r="R66" s="2" t="e">
        <f aca="false">#N/A</f>
        <v>#N/A</v>
      </c>
      <c r="S66" s="4" t="s">
        <v>367</v>
      </c>
      <c r="T66" s="2" t="s">
        <v>368</v>
      </c>
      <c r="U66" s="2" t="s">
        <v>369</v>
      </c>
      <c r="V66" s="2" t="s">
        <v>370</v>
      </c>
      <c r="W66" s="2" t="s">
        <v>371</v>
      </c>
    </row>
    <row r="67" customFormat="false" ht="85.05" hidden="false" customHeight="true" outlineLevel="0" collapsed="false">
      <c r="A67" s="2" t="e">
        <f aca="false">#N/A</f>
        <v>#N/A</v>
      </c>
      <c r="B67" s="2" t="e">
        <f aca="false">#N/A</f>
        <v>#N/A</v>
      </c>
      <c r="C67" s="2" t="s">
        <v>372</v>
      </c>
      <c r="D67" s="2" t="e">
        <f aca="false">#N/A</f>
        <v>#N/A</v>
      </c>
      <c r="E67" s="2" t="s">
        <v>373</v>
      </c>
      <c r="F67" s="2" t="s">
        <v>374</v>
      </c>
      <c r="G67" s="2" t="s">
        <v>375</v>
      </c>
      <c r="H67" s="2" t="s">
        <v>376</v>
      </c>
      <c r="I67" s="2" t="s">
        <v>377</v>
      </c>
      <c r="J67" s="2" t="s">
        <v>378</v>
      </c>
      <c r="K67" s="2" t="e">
        <f aca="false">#N/A</f>
        <v>#N/A</v>
      </c>
      <c r="L67" s="2" t="s">
        <v>28</v>
      </c>
      <c r="M67" s="2" t="s">
        <v>28</v>
      </c>
      <c r="N67" s="2" t="s">
        <v>28</v>
      </c>
      <c r="O67" s="2" t="s">
        <v>28</v>
      </c>
      <c r="P67" s="3" t="b">
        <f aca="false">FALSE()</f>
        <v>0</v>
      </c>
      <c r="Q67" s="2" t="e">
        <f aca="false">#N/A</f>
        <v>#N/A</v>
      </c>
      <c r="R67" s="2" t="e">
        <f aca="false">#N/A</f>
        <v>#N/A</v>
      </c>
      <c r="S67" s="4" t="s">
        <v>379</v>
      </c>
      <c r="T67" s="2" t="s">
        <v>380</v>
      </c>
      <c r="U67" s="2" t="s">
        <v>104</v>
      </c>
      <c r="V67" s="2" t="s">
        <v>105</v>
      </c>
      <c r="W67" s="2" t="s">
        <v>105</v>
      </c>
    </row>
    <row r="68" customFormat="false" ht="85.05" hidden="false" customHeight="true" outlineLevel="0" collapsed="false">
      <c r="A68" s="2" t="e">
        <f aca="false">#N/A</f>
        <v>#N/A</v>
      </c>
      <c r="B68" s="2" t="e">
        <f aca="false">#N/A</f>
        <v>#N/A</v>
      </c>
      <c r="C68" s="2" t="s">
        <v>381</v>
      </c>
      <c r="D68" s="2" t="e">
        <f aca="false">#N/A</f>
        <v>#N/A</v>
      </c>
      <c r="E68" s="2" t="s">
        <v>382</v>
      </c>
      <c r="F68" s="2" t="s">
        <v>383</v>
      </c>
      <c r="G68" s="2" t="s">
        <v>384</v>
      </c>
      <c r="H68" s="2" t="s">
        <v>385</v>
      </c>
      <c r="I68" s="2" t="s">
        <v>386</v>
      </c>
      <c r="J68" s="2" t="e">
        <f aca="false">#N/A</f>
        <v>#N/A</v>
      </c>
      <c r="K68" s="2" t="s">
        <v>387</v>
      </c>
      <c r="L68" s="2" t="s">
        <v>28</v>
      </c>
      <c r="M68" s="2" t="s">
        <v>28</v>
      </c>
      <c r="N68" s="2" t="s">
        <v>28</v>
      </c>
      <c r="O68" s="2" t="s">
        <v>28</v>
      </c>
      <c r="P68" s="3" t="b">
        <f aca="false">FALSE()</f>
        <v>0</v>
      </c>
      <c r="Q68" s="2" t="e">
        <f aca="false">#N/A</f>
        <v>#N/A</v>
      </c>
      <c r="R68" s="2" t="e">
        <f aca="false">#N/A</f>
        <v>#N/A</v>
      </c>
      <c r="S68" s="4" t="s">
        <v>388</v>
      </c>
      <c r="T68" s="2" t="s">
        <v>389</v>
      </c>
      <c r="U68" s="2" t="e">
        <f aca="false">#N/A</f>
        <v>#N/A</v>
      </c>
      <c r="V68" s="2" t="s">
        <v>40</v>
      </c>
      <c r="W68" s="2" t="s">
        <v>40</v>
      </c>
    </row>
  </sheetData>
  <printOptions headings="false" gridLines="tru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2025-12-16T16:03:58Z</dcterms:created>
  <dc:creator>rafrombec</dc:creator>
  <dc:description/>
  <dc:language>en-GB</dc:language>
  <cp:lastModifiedBy>Rafael Romero Becerra</cp:lastModifiedBy>
  <dcterms:modified xsi:type="dcterms:W3CDTF">2025-12-17T16:22:59Z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file>